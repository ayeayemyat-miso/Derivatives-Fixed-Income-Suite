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1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18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trlProps/ctrlProp2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.001 Career\My Portfolio To share\"/>
    </mc:Choice>
  </mc:AlternateContent>
  <xr:revisionPtr revIDLastSave="0" documentId="13_ncr:1_{FDFB984F-C756-4C94-A4AF-D54FBFCEC3C9}" xr6:coauthVersionLast="47" xr6:coauthVersionMax="47" xr10:uidLastSave="{00000000-0000-0000-0000-000000000000}"/>
  <bookViews>
    <workbookView xWindow="-110" yWindow="-110" windowWidth="19420" windowHeight="10300" firstSheet="1" activeTab="5" xr2:uid="{A1FDF26B-D7B6-45A5-9319-15D66B3111A2}"/>
  </bookViews>
  <sheets>
    <sheet name="Home Menu Page" sheetId="11" r:id="rId1"/>
    <sheet name="Bond Price" sheetId="1" r:id="rId2"/>
    <sheet name="Bond Duration" sheetId="6" r:id="rId3"/>
    <sheet name="BP vs r etc" sheetId="2" r:id="rId4"/>
    <sheet name="BP vs r vs T" sheetId="3" r:id="rId5"/>
    <sheet name="Dur vs etc" sheetId="7" r:id="rId6"/>
    <sheet name="YTM" sheetId="5" r:id="rId7"/>
    <sheet name="mortgage" sheetId="9" r:id="rId8"/>
    <sheet name="Black(1976)" sheetId="14" r:id="rId9"/>
    <sheet name="Portfolio for 10 stocks" sheetId="15" r:id="rId10"/>
    <sheet name="Estimate Taylor Rule" sheetId="20" r:id="rId11"/>
    <sheet name="Taylor Rule with Dummy" sheetId="21" r:id="rId12"/>
  </sheets>
  <functionGroups builtInGroupCount="19"/>
  <definedNames>
    <definedName name="_xlnm.Print_Area" localSheetId="2">'Bond Duration'!$A$2:$J$18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0" i="21" l="1"/>
  <c r="Q80" i="21" s="1"/>
  <c r="P79" i="21"/>
  <c r="Q79" i="21" s="1"/>
  <c r="P78" i="21"/>
  <c r="Q78" i="21" s="1"/>
  <c r="P77" i="21"/>
  <c r="Q77" i="21" s="1"/>
  <c r="P76" i="21"/>
  <c r="Q76" i="21" s="1"/>
  <c r="P75" i="21"/>
  <c r="Q75" i="21" s="1"/>
  <c r="P74" i="21"/>
  <c r="Q74" i="21" s="1"/>
  <c r="P73" i="21"/>
  <c r="Q73" i="21" s="1"/>
  <c r="P72" i="21"/>
  <c r="Q72" i="21" s="1"/>
  <c r="P71" i="21"/>
  <c r="Q71" i="21" s="1"/>
  <c r="P70" i="21"/>
  <c r="Q70" i="21" s="1"/>
  <c r="P69" i="21"/>
  <c r="Q69" i="21" s="1"/>
  <c r="P68" i="21"/>
  <c r="Q68" i="21" s="1"/>
  <c r="P67" i="21"/>
  <c r="Q67" i="21" s="1"/>
  <c r="P66" i="21"/>
  <c r="Q66" i="21" s="1"/>
  <c r="P65" i="21"/>
  <c r="Q65" i="21" s="1"/>
  <c r="P64" i="21"/>
  <c r="Q64" i="21" s="1"/>
  <c r="P63" i="21"/>
  <c r="Q63" i="21" s="1"/>
  <c r="P62" i="21"/>
  <c r="Q62" i="21" s="1"/>
  <c r="P61" i="21"/>
  <c r="Q61" i="21" s="1"/>
  <c r="P60" i="21"/>
  <c r="Q60" i="21" s="1"/>
  <c r="P59" i="21"/>
  <c r="Q59" i="21" s="1"/>
  <c r="P58" i="21"/>
  <c r="Q58" i="21" s="1"/>
  <c r="P57" i="21"/>
  <c r="Q57" i="21" s="1"/>
  <c r="P56" i="21"/>
  <c r="Q56" i="21" s="1"/>
  <c r="P55" i="21"/>
  <c r="Q55" i="21" s="1"/>
  <c r="P54" i="21"/>
  <c r="Q54" i="21" s="1"/>
  <c r="P53" i="21"/>
  <c r="Q53" i="21" s="1"/>
  <c r="P52" i="21"/>
  <c r="Q52" i="21" s="1"/>
  <c r="P51" i="21"/>
  <c r="Q51" i="21" s="1"/>
  <c r="P50" i="21"/>
  <c r="Q50" i="21" s="1"/>
  <c r="P49" i="21"/>
  <c r="Q49" i="21" s="1"/>
  <c r="P48" i="21"/>
  <c r="Q48" i="21" s="1"/>
  <c r="P47" i="21"/>
  <c r="Q47" i="21" s="1"/>
  <c r="P46" i="21"/>
  <c r="Q46" i="21" s="1"/>
  <c r="P45" i="21"/>
  <c r="Q45" i="21" s="1"/>
  <c r="P44" i="21"/>
  <c r="Q44" i="21" s="1"/>
  <c r="P43" i="21"/>
  <c r="Q43" i="21" s="1"/>
  <c r="P42" i="21"/>
  <c r="Q42" i="21" s="1"/>
  <c r="P41" i="21"/>
  <c r="Q41" i="21" s="1"/>
  <c r="P40" i="21"/>
  <c r="Q40" i="21" s="1"/>
  <c r="P39" i="21"/>
  <c r="Q39" i="21" s="1"/>
  <c r="P38" i="21"/>
  <c r="Q38" i="21" s="1"/>
  <c r="P37" i="21"/>
  <c r="Q37" i="21" s="1"/>
  <c r="P36" i="21"/>
  <c r="Q36" i="21" s="1"/>
  <c r="P35" i="21"/>
  <c r="Q35" i="21" s="1"/>
  <c r="P34" i="21"/>
  <c r="Q34" i="21" s="1"/>
  <c r="P33" i="21"/>
  <c r="Q33" i="21" s="1"/>
  <c r="P32" i="21"/>
  <c r="Q32" i="21" s="1"/>
  <c r="P31" i="21"/>
  <c r="Q31" i="21" s="1"/>
  <c r="P30" i="21"/>
  <c r="Q30" i="21" s="1"/>
  <c r="P29" i="21"/>
  <c r="Q29" i="21" s="1"/>
  <c r="P28" i="21"/>
  <c r="Q28" i="21" s="1"/>
  <c r="P27" i="21"/>
  <c r="Q27" i="21" s="1"/>
  <c r="P26" i="21"/>
  <c r="Q26" i="21" s="1"/>
  <c r="P25" i="21"/>
  <c r="Q25" i="21" s="1"/>
  <c r="P24" i="21"/>
  <c r="Q24" i="21" s="1"/>
  <c r="P23" i="21"/>
  <c r="Q23" i="21" s="1"/>
  <c r="P22" i="21"/>
  <c r="Q22" i="21" s="1"/>
  <c r="P21" i="21"/>
  <c r="Q21" i="21" s="1"/>
  <c r="P20" i="21"/>
  <c r="Q20" i="21" s="1"/>
  <c r="P19" i="21"/>
  <c r="Q19" i="21" s="1"/>
  <c r="P18" i="21"/>
  <c r="Q18" i="21" s="1"/>
  <c r="P17" i="21"/>
  <c r="Q17" i="21" s="1"/>
  <c r="P16" i="21"/>
  <c r="Q16" i="21" s="1"/>
  <c r="P15" i="21"/>
  <c r="Q15" i="21" s="1"/>
  <c r="P14" i="21"/>
  <c r="Q14" i="21" s="1"/>
  <c r="P13" i="21"/>
  <c r="Q13" i="21" s="1"/>
  <c r="P12" i="21"/>
  <c r="Q12" i="21" s="1"/>
  <c r="P11" i="21"/>
  <c r="Q11" i="21" s="1"/>
  <c r="P10" i="21"/>
  <c r="Q10" i="21" s="1"/>
  <c r="P9" i="21"/>
  <c r="Q9" i="21" s="1"/>
  <c r="P8" i="21"/>
  <c r="Q8" i="21" s="1"/>
  <c r="P7" i="21"/>
  <c r="Q7" i="21" s="1"/>
  <c r="P6" i="21"/>
  <c r="Q6" i="21" s="1"/>
  <c r="K6" i="21" a="1"/>
  <c r="L11" i="21" s="1"/>
  <c r="P5" i="21"/>
  <c r="Q5" i="21" s="1"/>
  <c r="P4" i="21"/>
  <c r="Q4" i="21" s="1"/>
  <c r="O80" i="20"/>
  <c r="P80" i="20" s="1"/>
  <c r="O79" i="20"/>
  <c r="P79" i="20" s="1"/>
  <c r="O78" i="20"/>
  <c r="P78" i="20" s="1"/>
  <c r="O77" i="20"/>
  <c r="P77" i="20" s="1"/>
  <c r="O76" i="20"/>
  <c r="P76" i="20" s="1"/>
  <c r="O75" i="20"/>
  <c r="P75" i="20" s="1"/>
  <c r="O74" i="20"/>
  <c r="P74" i="20" s="1"/>
  <c r="O73" i="20"/>
  <c r="P73" i="20" s="1"/>
  <c r="O72" i="20"/>
  <c r="P72" i="20" s="1"/>
  <c r="O71" i="20"/>
  <c r="P71" i="20" s="1"/>
  <c r="O70" i="20"/>
  <c r="P70" i="20" s="1"/>
  <c r="O69" i="20"/>
  <c r="P69" i="20" s="1"/>
  <c r="O68" i="20"/>
  <c r="P68" i="20" s="1"/>
  <c r="O67" i="20"/>
  <c r="P67" i="20" s="1"/>
  <c r="O66" i="20"/>
  <c r="P66" i="20" s="1"/>
  <c r="O65" i="20"/>
  <c r="P65" i="20" s="1"/>
  <c r="O64" i="20"/>
  <c r="P64" i="20" s="1"/>
  <c r="O63" i="20"/>
  <c r="P63" i="20" s="1"/>
  <c r="O62" i="20"/>
  <c r="P62" i="20" s="1"/>
  <c r="O61" i="20"/>
  <c r="P61" i="20" s="1"/>
  <c r="O60" i="20"/>
  <c r="P60" i="20" s="1"/>
  <c r="O59" i="20"/>
  <c r="P59" i="20" s="1"/>
  <c r="O58" i="20"/>
  <c r="P58" i="20" s="1"/>
  <c r="O57" i="20"/>
  <c r="P57" i="20" s="1"/>
  <c r="O56" i="20"/>
  <c r="P56" i="20" s="1"/>
  <c r="O55" i="20"/>
  <c r="P55" i="20" s="1"/>
  <c r="O54" i="20"/>
  <c r="P54" i="20" s="1"/>
  <c r="O53" i="20"/>
  <c r="P53" i="20" s="1"/>
  <c r="O52" i="20"/>
  <c r="P52" i="20" s="1"/>
  <c r="O51" i="20"/>
  <c r="P51" i="20" s="1"/>
  <c r="O50" i="20"/>
  <c r="P50" i="20" s="1"/>
  <c r="O49" i="20"/>
  <c r="P49" i="20" s="1"/>
  <c r="O48" i="20"/>
  <c r="P48" i="20" s="1"/>
  <c r="O47" i="20"/>
  <c r="P47" i="20" s="1"/>
  <c r="O46" i="20"/>
  <c r="P46" i="20" s="1"/>
  <c r="O45" i="20"/>
  <c r="P45" i="20" s="1"/>
  <c r="O44" i="20"/>
  <c r="P44" i="20" s="1"/>
  <c r="O43" i="20"/>
  <c r="P43" i="20" s="1"/>
  <c r="O42" i="20"/>
  <c r="P42" i="20" s="1"/>
  <c r="O41" i="20"/>
  <c r="P41" i="20" s="1"/>
  <c r="O40" i="20"/>
  <c r="P40" i="20" s="1"/>
  <c r="O39" i="20"/>
  <c r="P39" i="20" s="1"/>
  <c r="O38" i="20"/>
  <c r="P38" i="20" s="1"/>
  <c r="O37" i="20"/>
  <c r="P37" i="20" s="1"/>
  <c r="O36" i="20"/>
  <c r="P36" i="20" s="1"/>
  <c r="O35" i="20"/>
  <c r="P35" i="20" s="1"/>
  <c r="O34" i="20"/>
  <c r="P34" i="20" s="1"/>
  <c r="O33" i="20"/>
  <c r="P33" i="20" s="1"/>
  <c r="O32" i="20"/>
  <c r="P32" i="20" s="1"/>
  <c r="O31" i="20"/>
  <c r="P31" i="20" s="1"/>
  <c r="O30" i="20"/>
  <c r="P30" i="20" s="1"/>
  <c r="O29" i="20"/>
  <c r="P29" i="20" s="1"/>
  <c r="O28" i="20"/>
  <c r="P28" i="20" s="1"/>
  <c r="O27" i="20"/>
  <c r="P27" i="20" s="1"/>
  <c r="O26" i="20"/>
  <c r="P26" i="20" s="1"/>
  <c r="O25" i="20"/>
  <c r="P25" i="20" s="1"/>
  <c r="O24" i="20"/>
  <c r="P24" i="20" s="1"/>
  <c r="O23" i="20"/>
  <c r="P23" i="20" s="1"/>
  <c r="O22" i="20"/>
  <c r="P22" i="20" s="1"/>
  <c r="O21" i="20"/>
  <c r="P21" i="20" s="1"/>
  <c r="O20" i="20"/>
  <c r="P20" i="20" s="1"/>
  <c r="O19" i="20"/>
  <c r="P19" i="20" s="1"/>
  <c r="O18" i="20"/>
  <c r="P18" i="20" s="1"/>
  <c r="O17" i="20"/>
  <c r="P17" i="20" s="1"/>
  <c r="O16" i="20"/>
  <c r="P16" i="20" s="1"/>
  <c r="O15" i="20"/>
  <c r="P15" i="20" s="1"/>
  <c r="O14" i="20"/>
  <c r="P14" i="20" s="1"/>
  <c r="O13" i="20"/>
  <c r="P13" i="20" s="1"/>
  <c r="O12" i="20"/>
  <c r="P12" i="20" s="1"/>
  <c r="O11" i="20"/>
  <c r="P11" i="20" s="1"/>
  <c r="O10" i="20"/>
  <c r="P10" i="20" s="1"/>
  <c r="O9" i="20"/>
  <c r="P9" i="20" s="1"/>
  <c r="O8" i="20"/>
  <c r="P8" i="20" s="1"/>
  <c r="O7" i="20"/>
  <c r="P7" i="20" s="1"/>
  <c r="O6" i="20"/>
  <c r="P6" i="20" s="1"/>
  <c r="O5" i="20"/>
  <c r="P5" i="20" s="1"/>
  <c r="I5" i="20" a="1"/>
  <c r="J10" i="20" s="1"/>
  <c r="O4" i="20"/>
  <c r="P4" i="20" s="1"/>
  <c r="B11" i="5"/>
  <c r="C19" i="1"/>
  <c r="M11" i="21" l="1"/>
  <c r="N11" i="21"/>
  <c r="K6" i="21"/>
  <c r="K11" i="21" s="1"/>
  <c r="I5" i="20"/>
  <c r="I10" i="20" s="1"/>
  <c r="K10" i="20"/>
  <c r="AK22" i="15" l="1"/>
  <c r="AV6" i="15"/>
  <c r="AV7" i="15"/>
  <c r="AV8" i="15"/>
  <c r="AV9" i="15"/>
  <c r="AV10" i="15"/>
  <c r="AV11" i="15"/>
  <c r="AV12" i="15"/>
  <c r="AV13" i="15"/>
  <c r="AV14" i="15"/>
  <c r="AV5" i="15"/>
  <c r="N6" i="15"/>
  <c r="O6" i="15"/>
  <c r="P6" i="15"/>
  <c r="Q6" i="15"/>
  <c r="R6" i="15"/>
  <c r="S6" i="15"/>
  <c r="T6" i="15"/>
  <c r="U6" i="15"/>
  <c r="V6" i="15"/>
  <c r="W6" i="15"/>
  <c r="N7" i="15"/>
  <c r="O7" i="15"/>
  <c r="P7" i="15"/>
  <c r="Q7" i="15"/>
  <c r="R7" i="15"/>
  <c r="S7" i="15"/>
  <c r="T7" i="15"/>
  <c r="U7" i="15"/>
  <c r="V7" i="15"/>
  <c r="W7" i="15"/>
  <c r="N8" i="15"/>
  <c r="O8" i="15"/>
  <c r="P8" i="15"/>
  <c r="Q8" i="15"/>
  <c r="R8" i="15"/>
  <c r="S8" i="15"/>
  <c r="T8" i="15"/>
  <c r="U8" i="15"/>
  <c r="V8" i="15"/>
  <c r="W8" i="15"/>
  <c r="N9" i="15"/>
  <c r="O9" i="15"/>
  <c r="P9" i="15"/>
  <c r="Q9" i="15"/>
  <c r="R9" i="15"/>
  <c r="S9" i="15"/>
  <c r="T9" i="15"/>
  <c r="U9" i="15"/>
  <c r="V9" i="15"/>
  <c r="W9" i="15"/>
  <c r="N10" i="15"/>
  <c r="O10" i="15"/>
  <c r="P10" i="15"/>
  <c r="Q10" i="15"/>
  <c r="R10" i="15"/>
  <c r="S10" i="15"/>
  <c r="T10" i="15"/>
  <c r="U10" i="15"/>
  <c r="V10" i="15"/>
  <c r="W10" i="15"/>
  <c r="N11" i="15"/>
  <c r="O11" i="15"/>
  <c r="P11" i="15"/>
  <c r="Q11" i="15"/>
  <c r="R11" i="15"/>
  <c r="S11" i="15"/>
  <c r="T11" i="15"/>
  <c r="U11" i="15"/>
  <c r="V11" i="15"/>
  <c r="W11" i="15"/>
  <c r="N12" i="15"/>
  <c r="O12" i="15"/>
  <c r="P12" i="15"/>
  <c r="Q12" i="15"/>
  <c r="R12" i="15"/>
  <c r="S12" i="15"/>
  <c r="T12" i="15"/>
  <c r="U12" i="15"/>
  <c r="V12" i="15"/>
  <c r="W12" i="15"/>
  <c r="N13" i="15"/>
  <c r="O13" i="15"/>
  <c r="P13" i="15"/>
  <c r="Q13" i="15"/>
  <c r="R13" i="15"/>
  <c r="S13" i="15"/>
  <c r="T13" i="15"/>
  <c r="U13" i="15"/>
  <c r="V13" i="15"/>
  <c r="W13" i="15"/>
  <c r="N14" i="15"/>
  <c r="O14" i="15"/>
  <c r="P14" i="15"/>
  <c r="Q14" i="15"/>
  <c r="R14" i="15"/>
  <c r="S14" i="15"/>
  <c r="T14" i="15"/>
  <c r="U14" i="15"/>
  <c r="V14" i="15"/>
  <c r="W14" i="15"/>
  <c r="N15" i="15"/>
  <c r="O15" i="15"/>
  <c r="P15" i="15"/>
  <c r="Q15" i="15"/>
  <c r="R15" i="15"/>
  <c r="S15" i="15"/>
  <c r="T15" i="15"/>
  <c r="U15" i="15"/>
  <c r="V15" i="15"/>
  <c r="W15" i="15"/>
  <c r="N16" i="15"/>
  <c r="O16" i="15"/>
  <c r="P16" i="15"/>
  <c r="Q16" i="15"/>
  <c r="R16" i="15"/>
  <c r="S16" i="15"/>
  <c r="T16" i="15"/>
  <c r="U16" i="15"/>
  <c r="V16" i="15"/>
  <c r="W16" i="15"/>
  <c r="N17" i="15"/>
  <c r="O17" i="15"/>
  <c r="P17" i="15"/>
  <c r="Q17" i="15"/>
  <c r="R17" i="15"/>
  <c r="S17" i="15"/>
  <c r="T17" i="15"/>
  <c r="U17" i="15"/>
  <c r="V17" i="15"/>
  <c r="W17" i="15"/>
  <c r="N18" i="15"/>
  <c r="O18" i="15"/>
  <c r="P18" i="15"/>
  <c r="Q18" i="15"/>
  <c r="R18" i="15"/>
  <c r="S18" i="15"/>
  <c r="T18" i="15"/>
  <c r="U18" i="15"/>
  <c r="V18" i="15"/>
  <c r="W18" i="15"/>
  <c r="N19" i="15"/>
  <c r="O19" i="15"/>
  <c r="P19" i="15"/>
  <c r="Q19" i="15"/>
  <c r="R19" i="15"/>
  <c r="S19" i="15"/>
  <c r="T19" i="15"/>
  <c r="U19" i="15"/>
  <c r="V19" i="15"/>
  <c r="W19" i="15"/>
  <c r="N20" i="15"/>
  <c r="O20" i="15"/>
  <c r="P20" i="15"/>
  <c r="Q20" i="15"/>
  <c r="R20" i="15"/>
  <c r="S20" i="15"/>
  <c r="T20" i="15"/>
  <c r="U20" i="15"/>
  <c r="V20" i="15"/>
  <c r="W20" i="15"/>
  <c r="N21" i="15"/>
  <c r="O21" i="15"/>
  <c r="P21" i="15"/>
  <c r="Q21" i="15"/>
  <c r="R21" i="15"/>
  <c r="S21" i="15"/>
  <c r="T21" i="15"/>
  <c r="U21" i="15"/>
  <c r="V21" i="15"/>
  <c r="W21" i="15"/>
  <c r="N22" i="15"/>
  <c r="O22" i="15"/>
  <c r="P22" i="15"/>
  <c r="Q22" i="15"/>
  <c r="R22" i="15"/>
  <c r="S22" i="15"/>
  <c r="T22" i="15"/>
  <c r="U22" i="15"/>
  <c r="V22" i="15"/>
  <c r="W22" i="15"/>
  <c r="N23" i="15"/>
  <c r="O23" i="15"/>
  <c r="P23" i="15"/>
  <c r="Q23" i="15"/>
  <c r="R23" i="15"/>
  <c r="S23" i="15"/>
  <c r="T23" i="15"/>
  <c r="U23" i="15"/>
  <c r="V23" i="15"/>
  <c r="W23" i="15"/>
  <c r="N24" i="15"/>
  <c r="O24" i="15"/>
  <c r="P24" i="15"/>
  <c r="Q24" i="15"/>
  <c r="R24" i="15"/>
  <c r="S24" i="15"/>
  <c r="T24" i="15"/>
  <c r="U24" i="15"/>
  <c r="V24" i="15"/>
  <c r="W24" i="15"/>
  <c r="N25" i="15"/>
  <c r="O25" i="15"/>
  <c r="P25" i="15"/>
  <c r="Q25" i="15"/>
  <c r="R25" i="15"/>
  <c r="S25" i="15"/>
  <c r="T25" i="15"/>
  <c r="U25" i="15"/>
  <c r="V25" i="15"/>
  <c r="W25" i="15"/>
  <c r="N26" i="15"/>
  <c r="O26" i="15"/>
  <c r="P26" i="15"/>
  <c r="Q26" i="15"/>
  <c r="R26" i="15"/>
  <c r="S26" i="15"/>
  <c r="T26" i="15"/>
  <c r="U26" i="15"/>
  <c r="V26" i="15"/>
  <c r="W26" i="15"/>
  <c r="N27" i="15"/>
  <c r="O27" i="15"/>
  <c r="P27" i="15"/>
  <c r="Q27" i="15"/>
  <c r="R27" i="15"/>
  <c r="S27" i="15"/>
  <c r="T27" i="15"/>
  <c r="U27" i="15"/>
  <c r="V27" i="15"/>
  <c r="W27" i="15"/>
  <c r="N28" i="15"/>
  <c r="O28" i="15"/>
  <c r="P28" i="15"/>
  <c r="Q28" i="15"/>
  <c r="R28" i="15"/>
  <c r="S28" i="15"/>
  <c r="T28" i="15"/>
  <c r="U28" i="15"/>
  <c r="V28" i="15"/>
  <c r="W28" i="15"/>
  <c r="N29" i="15"/>
  <c r="O29" i="15"/>
  <c r="P29" i="15"/>
  <c r="Q29" i="15"/>
  <c r="R29" i="15"/>
  <c r="S29" i="15"/>
  <c r="T29" i="15"/>
  <c r="U29" i="15"/>
  <c r="V29" i="15"/>
  <c r="W29" i="15"/>
  <c r="N30" i="15"/>
  <c r="O30" i="15"/>
  <c r="P30" i="15"/>
  <c r="Q30" i="15"/>
  <c r="R30" i="15"/>
  <c r="S30" i="15"/>
  <c r="T30" i="15"/>
  <c r="U30" i="15"/>
  <c r="V30" i="15"/>
  <c r="W30" i="15"/>
  <c r="N31" i="15"/>
  <c r="O31" i="15"/>
  <c r="P31" i="15"/>
  <c r="Q31" i="15"/>
  <c r="R31" i="15"/>
  <c r="S31" i="15"/>
  <c r="T31" i="15"/>
  <c r="U31" i="15"/>
  <c r="V31" i="15"/>
  <c r="W31" i="15"/>
  <c r="N32" i="15"/>
  <c r="O32" i="15"/>
  <c r="P32" i="15"/>
  <c r="Q32" i="15"/>
  <c r="R32" i="15"/>
  <c r="S32" i="15"/>
  <c r="T32" i="15"/>
  <c r="U32" i="15"/>
  <c r="V32" i="15"/>
  <c r="W32" i="15"/>
  <c r="N33" i="15"/>
  <c r="O33" i="15"/>
  <c r="P33" i="15"/>
  <c r="Q33" i="15"/>
  <c r="R33" i="15"/>
  <c r="S33" i="15"/>
  <c r="T33" i="15"/>
  <c r="U33" i="15"/>
  <c r="V33" i="15"/>
  <c r="W33" i="15"/>
  <c r="N34" i="15"/>
  <c r="O34" i="15"/>
  <c r="P34" i="15"/>
  <c r="Q34" i="15"/>
  <c r="R34" i="15"/>
  <c r="S34" i="15"/>
  <c r="T34" i="15"/>
  <c r="U34" i="15"/>
  <c r="V34" i="15"/>
  <c r="W34" i="15"/>
  <c r="N35" i="15"/>
  <c r="O35" i="15"/>
  <c r="P35" i="15"/>
  <c r="Q35" i="15"/>
  <c r="R35" i="15"/>
  <c r="S35" i="15"/>
  <c r="T35" i="15"/>
  <c r="U35" i="15"/>
  <c r="V35" i="15"/>
  <c r="W35" i="15"/>
  <c r="N36" i="15"/>
  <c r="O36" i="15"/>
  <c r="P36" i="15"/>
  <c r="Q36" i="15"/>
  <c r="R36" i="15"/>
  <c r="S36" i="15"/>
  <c r="T36" i="15"/>
  <c r="U36" i="15"/>
  <c r="V36" i="15"/>
  <c r="W36" i="15"/>
  <c r="N37" i="15"/>
  <c r="O37" i="15"/>
  <c r="P37" i="15"/>
  <c r="Q37" i="15"/>
  <c r="R37" i="15"/>
  <c r="S37" i="15"/>
  <c r="T37" i="15"/>
  <c r="U37" i="15"/>
  <c r="V37" i="15"/>
  <c r="W37" i="15"/>
  <c r="N38" i="15"/>
  <c r="O38" i="15"/>
  <c r="P38" i="15"/>
  <c r="Q38" i="15"/>
  <c r="R38" i="15"/>
  <c r="S38" i="15"/>
  <c r="T38" i="15"/>
  <c r="U38" i="15"/>
  <c r="V38" i="15"/>
  <c r="W38" i="15"/>
  <c r="N39" i="15"/>
  <c r="O39" i="15"/>
  <c r="P39" i="15"/>
  <c r="Q39" i="15"/>
  <c r="R39" i="15"/>
  <c r="S39" i="15"/>
  <c r="T39" i="15"/>
  <c r="U39" i="15"/>
  <c r="V39" i="15"/>
  <c r="W39" i="15"/>
  <c r="N40" i="15"/>
  <c r="O40" i="15"/>
  <c r="P40" i="15"/>
  <c r="Q40" i="15"/>
  <c r="R40" i="15"/>
  <c r="S40" i="15"/>
  <c r="T40" i="15"/>
  <c r="U40" i="15"/>
  <c r="V40" i="15"/>
  <c r="W40" i="15"/>
  <c r="N41" i="15"/>
  <c r="O41" i="15"/>
  <c r="P41" i="15"/>
  <c r="Q41" i="15"/>
  <c r="R41" i="15"/>
  <c r="S41" i="15"/>
  <c r="T41" i="15"/>
  <c r="U41" i="15"/>
  <c r="V41" i="15"/>
  <c r="W41" i="15"/>
  <c r="N42" i="15"/>
  <c r="O42" i="15"/>
  <c r="P42" i="15"/>
  <c r="Q42" i="15"/>
  <c r="R42" i="15"/>
  <c r="S42" i="15"/>
  <c r="T42" i="15"/>
  <c r="U42" i="15"/>
  <c r="V42" i="15"/>
  <c r="W42" i="15"/>
  <c r="N43" i="15"/>
  <c r="O43" i="15"/>
  <c r="P43" i="15"/>
  <c r="Q43" i="15"/>
  <c r="R43" i="15"/>
  <c r="S43" i="15"/>
  <c r="T43" i="15"/>
  <c r="U43" i="15"/>
  <c r="V43" i="15"/>
  <c r="W43" i="15"/>
  <c r="N44" i="15"/>
  <c r="O44" i="15"/>
  <c r="P44" i="15"/>
  <c r="Q44" i="15"/>
  <c r="R44" i="15"/>
  <c r="S44" i="15"/>
  <c r="T44" i="15"/>
  <c r="U44" i="15"/>
  <c r="V44" i="15"/>
  <c r="W44" i="15"/>
  <c r="N45" i="15"/>
  <c r="O45" i="15"/>
  <c r="P45" i="15"/>
  <c r="Q45" i="15"/>
  <c r="R45" i="15"/>
  <c r="S45" i="15"/>
  <c r="T45" i="15"/>
  <c r="U45" i="15"/>
  <c r="V45" i="15"/>
  <c r="W45" i="15"/>
  <c r="N46" i="15"/>
  <c r="O46" i="15"/>
  <c r="P46" i="15"/>
  <c r="Q46" i="15"/>
  <c r="R46" i="15"/>
  <c r="S46" i="15"/>
  <c r="T46" i="15"/>
  <c r="U46" i="15"/>
  <c r="V46" i="15"/>
  <c r="W46" i="15"/>
  <c r="N47" i="15"/>
  <c r="O47" i="15"/>
  <c r="P47" i="15"/>
  <c r="Q47" i="15"/>
  <c r="R47" i="15"/>
  <c r="S47" i="15"/>
  <c r="T47" i="15"/>
  <c r="U47" i="15"/>
  <c r="V47" i="15"/>
  <c r="W47" i="15"/>
  <c r="N48" i="15"/>
  <c r="O48" i="15"/>
  <c r="P48" i="15"/>
  <c r="Q48" i="15"/>
  <c r="R48" i="15"/>
  <c r="S48" i="15"/>
  <c r="T48" i="15"/>
  <c r="U48" i="15"/>
  <c r="V48" i="15"/>
  <c r="W48" i="15"/>
  <c r="N49" i="15"/>
  <c r="O49" i="15"/>
  <c r="P49" i="15"/>
  <c r="Q49" i="15"/>
  <c r="R49" i="15"/>
  <c r="S49" i="15"/>
  <c r="T49" i="15"/>
  <c r="U49" i="15"/>
  <c r="V49" i="15"/>
  <c r="W49" i="15"/>
  <c r="N50" i="15"/>
  <c r="O50" i="15"/>
  <c r="P50" i="15"/>
  <c r="Q50" i="15"/>
  <c r="R50" i="15"/>
  <c r="S50" i="15"/>
  <c r="T50" i="15"/>
  <c r="U50" i="15"/>
  <c r="V50" i="15"/>
  <c r="W50" i="15"/>
  <c r="N51" i="15"/>
  <c r="O51" i="15"/>
  <c r="P51" i="15"/>
  <c r="Q51" i="15"/>
  <c r="R51" i="15"/>
  <c r="S51" i="15"/>
  <c r="T51" i="15"/>
  <c r="U51" i="15"/>
  <c r="V51" i="15"/>
  <c r="W51" i="15"/>
  <c r="N52" i="15"/>
  <c r="O52" i="15"/>
  <c r="P52" i="15"/>
  <c r="Q52" i="15"/>
  <c r="R52" i="15"/>
  <c r="S52" i="15"/>
  <c r="T52" i="15"/>
  <c r="U52" i="15"/>
  <c r="V52" i="15"/>
  <c r="W52" i="15"/>
  <c r="N53" i="15"/>
  <c r="O53" i="15"/>
  <c r="P53" i="15"/>
  <c r="Q53" i="15"/>
  <c r="R53" i="15"/>
  <c r="S53" i="15"/>
  <c r="T53" i="15"/>
  <c r="U53" i="15"/>
  <c r="V53" i="15"/>
  <c r="W53" i="15"/>
  <c r="N54" i="15"/>
  <c r="O54" i="15"/>
  <c r="P54" i="15"/>
  <c r="Q54" i="15"/>
  <c r="R54" i="15"/>
  <c r="S54" i="15"/>
  <c r="T54" i="15"/>
  <c r="U54" i="15"/>
  <c r="V54" i="15"/>
  <c r="W54" i="15"/>
  <c r="N55" i="15"/>
  <c r="O55" i="15"/>
  <c r="P55" i="15"/>
  <c r="Q55" i="15"/>
  <c r="R55" i="15"/>
  <c r="S55" i="15"/>
  <c r="T55" i="15"/>
  <c r="U55" i="15"/>
  <c r="V55" i="15"/>
  <c r="W55" i="15"/>
  <c r="N56" i="15"/>
  <c r="O56" i="15"/>
  <c r="P56" i="15"/>
  <c r="Q56" i="15"/>
  <c r="R56" i="15"/>
  <c r="S56" i="15"/>
  <c r="T56" i="15"/>
  <c r="U56" i="15"/>
  <c r="V56" i="15"/>
  <c r="W56" i="15"/>
  <c r="N57" i="15"/>
  <c r="O57" i="15"/>
  <c r="P57" i="15"/>
  <c r="Q57" i="15"/>
  <c r="R57" i="15"/>
  <c r="S57" i="15"/>
  <c r="T57" i="15"/>
  <c r="U57" i="15"/>
  <c r="V57" i="15"/>
  <c r="W57" i="15"/>
  <c r="N58" i="15"/>
  <c r="O58" i="15"/>
  <c r="P58" i="15"/>
  <c r="Q58" i="15"/>
  <c r="R58" i="15"/>
  <c r="S58" i="15"/>
  <c r="T58" i="15"/>
  <c r="U58" i="15"/>
  <c r="V58" i="15"/>
  <c r="W58" i="15"/>
  <c r="N59" i="15"/>
  <c r="O59" i="15"/>
  <c r="P59" i="15"/>
  <c r="Q59" i="15"/>
  <c r="R59" i="15"/>
  <c r="S59" i="15"/>
  <c r="T59" i="15"/>
  <c r="U59" i="15"/>
  <c r="V59" i="15"/>
  <c r="W59" i="15"/>
  <c r="N60" i="15"/>
  <c r="O60" i="15"/>
  <c r="P60" i="15"/>
  <c r="Q60" i="15"/>
  <c r="R60" i="15"/>
  <c r="S60" i="15"/>
  <c r="T60" i="15"/>
  <c r="U60" i="15"/>
  <c r="V60" i="15"/>
  <c r="W60" i="15"/>
  <c r="N61" i="15"/>
  <c r="O61" i="15"/>
  <c r="P61" i="15"/>
  <c r="Q61" i="15"/>
  <c r="R61" i="15"/>
  <c r="S61" i="15"/>
  <c r="T61" i="15"/>
  <c r="U61" i="15"/>
  <c r="V61" i="15"/>
  <c r="W61" i="15"/>
  <c r="N62" i="15"/>
  <c r="O62" i="15"/>
  <c r="P62" i="15"/>
  <c r="Q62" i="15"/>
  <c r="R62" i="15"/>
  <c r="S62" i="15"/>
  <c r="T62" i="15"/>
  <c r="U62" i="15"/>
  <c r="V62" i="15"/>
  <c r="W62" i="15"/>
  <c r="N63" i="15"/>
  <c r="O63" i="15"/>
  <c r="P63" i="15"/>
  <c r="Q63" i="15"/>
  <c r="R63" i="15"/>
  <c r="S63" i="15"/>
  <c r="T63" i="15"/>
  <c r="U63" i="15"/>
  <c r="V63" i="15"/>
  <c r="W63" i="15"/>
  <c r="N64" i="15"/>
  <c r="O64" i="15"/>
  <c r="P64" i="15"/>
  <c r="Q64" i="15"/>
  <c r="R64" i="15"/>
  <c r="S64" i="15"/>
  <c r="T64" i="15"/>
  <c r="U64" i="15"/>
  <c r="V64" i="15"/>
  <c r="W64" i="15"/>
  <c r="N65" i="15"/>
  <c r="O65" i="15"/>
  <c r="P65" i="15"/>
  <c r="Q65" i="15"/>
  <c r="R65" i="15"/>
  <c r="S65" i="15"/>
  <c r="T65" i="15"/>
  <c r="U65" i="15"/>
  <c r="V65" i="15"/>
  <c r="W65" i="15"/>
  <c r="N66" i="15"/>
  <c r="O66" i="15"/>
  <c r="P66" i="15"/>
  <c r="Q66" i="15"/>
  <c r="R66" i="15"/>
  <c r="S66" i="15"/>
  <c r="T66" i="15"/>
  <c r="U66" i="15"/>
  <c r="V66" i="15"/>
  <c r="W66" i="15"/>
  <c r="N67" i="15"/>
  <c r="O67" i="15"/>
  <c r="P67" i="15"/>
  <c r="Q67" i="15"/>
  <c r="R67" i="15"/>
  <c r="S67" i="15"/>
  <c r="T67" i="15"/>
  <c r="U67" i="15"/>
  <c r="V67" i="15"/>
  <c r="W67" i="15"/>
  <c r="N68" i="15"/>
  <c r="O68" i="15"/>
  <c r="P68" i="15"/>
  <c r="Q68" i="15"/>
  <c r="R68" i="15"/>
  <c r="S68" i="15"/>
  <c r="T68" i="15"/>
  <c r="U68" i="15"/>
  <c r="V68" i="15"/>
  <c r="W68" i="15"/>
  <c r="N69" i="15"/>
  <c r="O69" i="15"/>
  <c r="P69" i="15"/>
  <c r="Q69" i="15"/>
  <c r="R69" i="15"/>
  <c r="S69" i="15"/>
  <c r="T69" i="15"/>
  <c r="U69" i="15"/>
  <c r="V69" i="15"/>
  <c r="W69" i="15"/>
  <c r="N70" i="15"/>
  <c r="O70" i="15"/>
  <c r="P70" i="15"/>
  <c r="Q70" i="15"/>
  <c r="R70" i="15"/>
  <c r="S70" i="15"/>
  <c r="T70" i="15"/>
  <c r="U70" i="15"/>
  <c r="V70" i="15"/>
  <c r="W70" i="15"/>
  <c r="N71" i="15"/>
  <c r="O71" i="15"/>
  <c r="P71" i="15"/>
  <c r="Q71" i="15"/>
  <c r="R71" i="15"/>
  <c r="S71" i="15"/>
  <c r="T71" i="15"/>
  <c r="U71" i="15"/>
  <c r="V71" i="15"/>
  <c r="W71" i="15"/>
  <c r="N72" i="15"/>
  <c r="O72" i="15"/>
  <c r="P72" i="15"/>
  <c r="Q72" i="15"/>
  <c r="R72" i="15"/>
  <c r="S72" i="15"/>
  <c r="T72" i="15"/>
  <c r="U72" i="15"/>
  <c r="V72" i="15"/>
  <c r="W72" i="15"/>
  <c r="N73" i="15"/>
  <c r="O73" i="15"/>
  <c r="P73" i="15"/>
  <c r="Q73" i="15"/>
  <c r="R73" i="15"/>
  <c r="S73" i="15"/>
  <c r="T73" i="15"/>
  <c r="U73" i="15"/>
  <c r="V73" i="15"/>
  <c r="W73" i="15"/>
  <c r="N74" i="15"/>
  <c r="O74" i="15"/>
  <c r="P74" i="15"/>
  <c r="Q74" i="15"/>
  <c r="R74" i="15"/>
  <c r="S74" i="15"/>
  <c r="T74" i="15"/>
  <c r="U74" i="15"/>
  <c r="V74" i="15"/>
  <c r="W74" i="15"/>
  <c r="N75" i="15"/>
  <c r="O75" i="15"/>
  <c r="P75" i="15"/>
  <c r="Q75" i="15"/>
  <c r="R75" i="15"/>
  <c r="S75" i="15"/>
  <c r="T75" i="15"/>
  <c r="U75" i="15"/>
  <c r="V75" i="15"/>
  <c r="W75" i="15"/>
  <c r="N76" i="15"/>
  <c r="O76" i="15"/>
  <c r="P76" i="15"/>
  <c r="Q76" i="15"/>
  <c r="R76" i="15"/>
  <c r="S76" i="15"/>
  <c r="T76" i="15"/>
  <c r="U76" i="15"/>
  <c r="V76" i="15"/>
  <c r="W76" i="15"/>
  <c r="N77" i="15"/>
  <c r="O77" i="15"/>
  <c r="P77" i="15"/>
  <c r="Q77" i="15"/>
  <c r="R77" i="15"/>
  <c r="S77" i="15"/>
  <c r="T77" i="15"/>
  <c r="U77" i="15"/>
  <c r="V77" i="15"/>
  <c r="W77" i="15"/>
  <c r="N78" i="15"/>
  <c r="O78" i="15"/>
  <c r="P78" i="15"/>
  <c r="Q78" i="15"/>
  <c r="R78" i="15"/>
  <c r="S78" i="15"/>
  <c r="T78" i="15"/>
  <c r="U78" i="15"/>
  <c r="V78" i="15"/>
  <c r="W78" i="15"/>
  <c r="N79" i="15"/>
  <c r="O79" i="15"/>
  <c r="P79" i="15"/>
  <c r="Q79" i="15"/>
  <c r="R79" i="15"/>
  <c r="S79" i="15"/>
  <c r="T79" i="15"/>
  <c r="U79" i="15"/>
  <c r="V79" i="15"/>
  <c r="W79" i="15"/>
  <c r="N80" i="15"/>
  <c r="O80" i="15"/>
  <c r="P80" i="15"/>
  <c r="Q80" i="15"/>
  <c r="R80" i="15"/>
  <c r="S80" i="15"/>
  <c r="T80" i="15"/>
  <c r="U80" i="15"/>
  <c r="V80" i="15"/>
  <c r="W80" i="15"/>
  <c r="N81" i="15"/>
  <c r="O81" i="15"/>
  <c r="P81" i="15"/>
  <c r="Q81" i="15"/>
  <c r="R81" i="15"/>
  <c r="S81" i="15"/>
  <c r="T81" i="15"/>
  <c r="U81" i="15"/>
  <c r="V81" i="15"/>
  <c r="W81" i="15"/>
  <c r="N82" i="15"/>
  <c r="O82" i="15"/>
  <c r="P82" i="15"/>
  <c r="Q82" i="15"/>
  <c r="R82" i="15"/>
  <c r="S82" i="15"/>
  <c r="T82" i="15"/>
  <c r="U82" i="15"/>
  <c r="V82" i="15"/>
  <c r="W82" i="15"/>
  <c r="N83" i="15"/>
  <c r="O83" i="15"/>
  <c r="P83" i="15"/>
  <c r="Q83" i="15"/>
  <c r="R83" i="15"/>
  <c r="S83" i="15"/>
  <c r="T83" i="15"/>
  <c r="U83" i="15"/>
  <c r="V83" i="15"/>
  <c r="W83" i="15"/>
  <c r="N84" i="15"/>
  <c r="O84" i="15"/>
  <c r="P84" i="15"/>
  <c r="Q84" i="15"/>
  <c r="R84" i="15"/>
  <c r="S84" i="15"/>
  <c r="T84" i="15"/>
  <c r="U84" i="15"/>
  <c r="V84" i="15"/>
  <c r="W84" i="15"/>
  <c r="N85" i="15"/>
  <c r="O85" i="15"/>
  <c r="P85" i="15"/>
  <c r="Q85" i="15"/>
  <c r="R85" i="15"/>
  <c r="S85" i="15"/>
  <c r="T85" i="15"/>
  <c r="U85" i="15"/>
  <c r="V85" i="15"/>
  <c r="W85" i="15"/>
  <c r="N86" i="15"/>
  <c r="O86" i="15"/>
  <c r="P86" i="15"/>
  <c r="Q86" i="15"/>
  <c r="R86" i="15"/>
  <c r="S86" i="15"/>
  <c r="T86" i="15"/>
  <c r="U86" i="15"/>
  <c r="V86" i="15"/>
  <c r="W86" i="15"/>
  <c r="N87" i="15"/>
  <c r="O87" i="15"/>
  <c r="P87" i="15"/>
  <c r="Q87" i="15"/>
  <c r="R87" i="15"/>
  <c r="S87" i="15"/>
  <c r="T87" i="15"/>
  <c r="U87" i="15"/>
  <c r="V87" i="15"/>
  <c r="W87" i="15"/>
  <c r="N88" i="15"/>
  <c r="O88" i="15"/>
  <c r="P88" i="15"/>
  <c r="Q88" i="15"/>
  <c r="R88" i="15"/>
  <c r="S88" i="15"/>
  <c r="T88" i="15"/>
  <c r="U88" i="15"/>
  <c r="V88" i="15"/>
  <c r="W88" i="15"/>
  <c r="N89" i="15"/>
  <c r="O89" i="15"/>
  <c r="P89" i="15"/>
  <c r="Q89" i="15"/>
  <c r="R89" i="15"/>
  <c r="S89" i="15"/>
  <c r="T89" i="15"/>
  <c r="U89" i="15"/>
  <c r="V89" i="15"/>
  <c r="W89" i="15"/>
  <c r="N90" i="15"/>
  <c r="O90" i="15"/>
  <c r="P90" i="15"/>
  <c r="Q90" i="15"/>
  <c r="R90" i="15"/>
  <c r="S90" i="15"/>
  <c r="T90" i="15"/>
  <c r="U90" i="15"/>
  <c r="V90" i="15"/>
  <c r="W90" i="15"/>
  <c r="N91" i="15"/>
  <c r="O91" i="15"/>
  <c r="P91" i="15"/>
  <c r="Q91" i="15"/>
  <c r="R91" i="15"/>
  <c r="S91" i="15"/>
  <c r="T91" i="15"/>
  <c r="U91" i="15"/>
  <c r="V91" i="15"/>
  <c r="W91" i="15"/>
  <c r="N92" i="15"/>
  <c r="O92" i="15"/>
  <c r="P92" i="15"/>
  <c r="Q92" i="15"/>
  <c r="R92" i="15"/>
  <c r="S92" i="15"/>
  <c r="T92" i="15"/>
  <c r="U92" i="15"/>
  <c r="V92" i="15"/>
  <c r="W92" i="15"/>
  <c r="N93" i="15"/>
  <c r="O93" i="15"/>
  <c r="P93" i="15"/>
  <c r="Q93" i="15"/>
  <c r="R93" i="15"/>
  <c r="S93" i="15"/>
  <c r="T93" i="15"/>
  <c r="U93" i="15"/>
  <c r="V93" i="15"/>
  <c r="W93" i="15"/>
  <c r="N94" i="15"/>
  <c r="O94" i="15"/>
  <c r="P94" i="15"/>
  <c r="Q94" i="15"/>
  <c r="R94" i="15"/>
  <c r="S94" i="15"/>
  <c r="T94" i="15"/>
  <c r="U94" i="15"/>
  <c r="V94" i="15"/>
  <c r="W94" i="15"/>
  <c r="N95" i="15"/>
  <c r="O95" i="15"/>
  <c r="P95" i="15"/>
  <c r="Q95" i="15"/>
  <c r="R95" i="15"/>
  <c r="S95" i="15"/>
  <c r="T95" i="15"/>
  <c r="U95" i="15"/>
  <c r="V95" i="15"/>
  <c r="W95" i="15"/>
  <c r="N96" i="15"/>
  <c r="O96" i="15"/>
  <c r="P96" i="15"/>
  <c r="Q96" i="15"/>
  <c r="R96" i="15"/>
  <c r="S96" i="15"/>
  <c r="T96" i="15"/>
  <c r="U96" i="15"/>
  <c r="V96" i="15"/>
  <c r="W96" i="15"/>
  <c r="N97" i="15"/>
  <c r="O97" i="15"/>
  <c r="P97" i="15"/>
  <c r="Q97" i="15"/>
  <c r="R97" i="15"/>
  <c r="S97" i="15"/>
  <c r="T97" i="15"/>
  <c r="U97" i="15"/>
  <c r="V97" i="15"/>
  <c r="W97" i="15"/>
  <c r="N98" i="15"/>
  <c r="O98" i="15"/>
  <c r="P98" i="15"/>
  <c r="Q98" i="15"/>
  <c r="R98" i="15"/>
  <c r="S98" i="15"/>
  <c r="T98" i="15"/>
  <c r="U98" i="15"/>
  <c r="V98" i="15"/>
  <c r="W98" i="15"/>
  <c r="N99" i="15"/>
  <c r="O99" i="15"/>
  <c r="P99" i="15"/>
  <c r="Q99" i="15"/>
  <c r="R99" i="15"/>
  <c r="S99" i="15"/>
  <c r="T99" i="15"/>
  <c r="U99" i="15"/>
  <c r="V99" i="15"/>
  <c r="W99" i="15"/>
  <c r="N100" i="15"/>
  <c r="O100" i="15"/>
  <c r="P100" i="15"/>
  <c r="Q100" i="15"/>
  <c r="R100" i="15"/>
  <c r="S100" i="15"/>
  <c r="T100" i="15"/>
  <c r="U100" i="15"/>
  <c r="V100" i="15"/>
  <c r="W100" i="15"/>
  <c r="N101" i="15"/>
  <c r="O101" i="15"/>
  <c r="P101" i="15"/>
  <c r="Q101" i="15"/>
  <c r="R101" i="15"/>
  <c r="S101" i="15"/>
  <c r="T101" i="15"/>
  <c r="U101" i="15"/>
  <c r="V101" i="15"/>
  <c r="W101" i="15"/>
  <c r="N102" i="15"/>
  <c r="O102" i="15"/>
  <c r="P102" i="15"/>
  <c r="Q102" i="15"/>
  <c r="R102" i="15"/>
  <c r="S102" i="15"/>
  <c r="T102" i="15"/>
  <c r="U102" i="15"/>
  <c r="V102" i="15"/>
  <c r="W102" i="15"/>
  <c r="N103" i="15"/>
  <c r="O103" i="15"/>
  <c r="P103" i="15"/>
  <c r="Q103" i="15"/>
  <c r="R103" i="15"/>
  <c r="S103" i="15"/>
  <c r="T103" i="15"/>
  <c r="U103" i="15"/>
  <c r="V103" i="15"/>
  <c r="W103" i="15"/>
  <c r="N104" i="15"/>
  <c r="O104" i="15"/>
  <c r="P104" i="15"/>
  <c r="Q104" i="15"/>
  <c r="R104" i="15"/>
  <c r="S104" i="15"/>
  <c r="T104" i="15"/>
  <c r="U104" i="15"/>
  <c r="V104" i="15"/>
  <c r="W104" i="15"/>
  <c r="N105" i="15"/>
  <c r="O105" i="15"/>
  <c r="P105" i="15"/>
  <c r="Q105" i="15"/>
  <c r="R105" i="15"/>
  <c r="S105" i="15"/>
  <c r="T105" i="15"/>
  <c r="U105" i="15"/>
  <c r="V105" i="15"/>
  <c r="W105" i="15"/>
  <c r="N106" i="15"/>
  <c r="O106" i="15"/>
  <c r="P106" i="15"/>
  <c r="Q106" i="15"/>
  <c r="R106" i="15"/>
  <c r="S106" i="15"/>
  <c r="T106" i="15"/>
  <c r="U106" i="15"/>
  <c r="V106" i="15"/>
  <c r="W106" i="15"/>
  <c r="N107" i="15"/>
  <c r="O107" i="15"/>
  <c r="P107" i="15"/>
  <c r="Q107" i="15"/>
  <c r="R107" i="15"/>
  <c r="S107" i="15"/>
  <c r="T107" i="15"/>
  <c r="U107" i="15"/>
  <c r="V107" i="15"/>
  <c r="W107" i="15"/>
  <c r="N108" i="15"/>
  <c r="O108" i="15"/>
  <c r="P108" i="15"/>
  <c r="Q108" i="15"/>
  <c r="R108" i="15"/>
  <c r="S108" i="15"/>
  <c r="T108" i="15"/>
  <c r="U108" i="15"/>
  <c r="V108" i="15"/>
  <c r="W108" i="15"/>
  <c r="N109" i="15"/>
  <c r="O109" i="15"/>
  <c r="P109" i="15"/>
  <c r="Q109" i="15"/>
  <c r="R109" i="15"/>
  <c r="S109" i="15"/>
  <c r="T109" i="15"/>
  <c r="U109" i="15"/>
  <c r="V109" i="15"/>
  <c r="W109" i="15"/>
  <c r="N110" i="15"/>
  <c r="O110" i="15"/>
  <c r="P110" i="15"/>
  <c r="Q110" i="15"/>
  <c r="R110" i="15"/>
  <c r="S110" i="15"/>
  <c r="T110" i="15"/>
  <c r="U110" i="15"/>
  <c r="V110" i="15"/>
  <c r="W110" i="15"/>
  <c r="N111" i="15"/>
  <c r="O111" i="15"/>
  <c r="P111" i="15"/>
  <c r="Q111" i="15"/>
  <c r="R111" i="15"/>
  <c r="S111" i="15"/>
  <c r="T111" i="15"/>
  <c r="U111" i="15"/>
  <c r="V111" i="15"/>
  <c r="W111" i="15"/>
  <c r="N112" i="15"/>
  <c r="O112" i="15"/>
  <c r="P112" i="15"/>
  <c r="Q112" i="15"/>
  <c r="R112" i="15"/>
  <c r="S112" i="15"/>
  <c r="T112" i="15"/>
  <c r="U112" i="15"/>
  <c r="V112" i="15"/>
  <c r="W112" i="15"/>
  <c r="N113" i="15"/>
  <c r="O113" i="15"/>
  <c r="P113" i="15"/>
  <c r="Q113" i="15"/>
  <c r="R113" i="15"/>
  <c r="S113" i="15"/>
  <c r="T113" i="15"/>
  <c r="U113" i="15"/>
  <c r="V113" i="15"/>
  <c r="W113" i="15"/>
  <c r="N114" i="15"/>
  <c r="O114" i="15"/>
  <c r="P114" i="15"/>
  <c r="Q114" i="15"/>
  <c r="R114" i="15"/>
  <c r="S114" i="15"/>
  <c r="T114" i="15"/>
  <c r="U114" i="15"/>
  <c r="V114" i="15"/>
  <c r="W114" i="15"/>
  <c r="N115" i="15"/>
  <c r="O115" i="15"/>
  <c r="P115" i="15"/>
  <c r="Q115" i="15"/>
  <c r="R115" i="15"/>
  <c r="S115" i="15"/>
  <c r="T115" i="15"/>
  <c r="U115" i="15"/>
  <c r="V115" i="15"/>
  <c r="W115" i="15"/>
  <c r="N116" i="15"/>
  <c r="O116" i="15"/>
  <c r="P116" i="15"/>
  <c r="Q116" i="15"/>
  <c r="R116" i="15"/>
  <c r="S116" i="15"/>
  <c r="T116" i="15"/>
  <c r="U116" i="15"/>
  <c r="V116" i="15"/>
  <c r="W116" i="15"/>
  <c r="N117" i="15"/>
  <c r="O117" i="15"/>
  <c r="P117" i="15"/>
  <c r="Q117" i="15"/>
  <c r="R117" i="15"/>
  <c r="S117" i="15"/>
  <c r="T117" i="15"/>
  <c r="U117" i="15"/>
  <c r="V117" i="15"/>
  <c r="W117" i="15"/>
  <c r="N118" i="15"/>
  <c r="O118" i="15"/>
  <c r="P118" i="15"/>
  <c r="Q118" i="15"/>
  <c r="R118" i="15"/>
  <c r="S118" i="15"/>
  <c r="T118" i="15"/>
  <c r="U118" i="15"/>
  <c r="V118" i="15"/>
  <c r="W118" i="15"/>
  <c r="N119" i="15"/>
  <c r="O119" i="15"/>
  <c r="P119" i="15"/>
  <c r="Q119" i="15"/>
  <c r="R119" i="15"/>
  <c r="S119" i="15"/>
  <c r="T119" i="15"/>
  <c r="U119" i="15"/>
  <c r="V119" i="15"/>
  <c r="W119" i="15"/>
  <c r="N120" i="15"/>
  <c r="O120" i="15"/>
  <c r="P120" i="15"/>
  <c r="Q120" i="15"/>
  <c r="R120" i="15"/>
  <c r="S120" i="15"/>
  <c r="T120" i="15"/>
  <c r="U120" i="15"/>
  <c r="V120" i="15"/>
  <c r="W120" i="15"/>
  <c r="N121" i="15"/>
  <c r="O121" i="15"/>
  <c r="P121" i="15"/>
  <c r="Q121" i="15"/>
  <c r="R121" i="15"/>
  <c r="S121" i="15"/>
  <c r="T121" i="15"/>
  <c r="U121" i="15"/>
  <c r="V121" i="15"/>
  <c r="W121" i="15"/>
  <c r="N122" i="15"/>
  <c r="O122" i="15"/>
  <c r="P122" i="15"/>
  <c r="Q122" i="15"/>
  <c r="R122" i="15"/>
  <c r="S122" i="15"/>
  <c r="T122" i="15"/>
  <c r="U122" i="15"/>
  <c r="V122" i="15"/>
  <c r="W122" i="15"/>
  <c r="N123" i="15"/>
  <c r="O123" i="15"/>
  <c r="P123" i="15"/>
  <c r="Q123" i="15"/>
  <c r="R123" i="15"/>
  <c r="S123" i="15"/>
  <c r="T123" i="15"/>
  <c r="U123" i="15"/>
  <c r="V123" i="15"/>
  <c r="W123" i="15"/>
  <c r="N124" i="15"/>
  <c r="O124" i="15"/>
  <c r="P124" i="15"/>
  <c r="Q124" i="15"/>
  <c r="R124" i="15"/>
  <c r="S124" i="15"/>
  <c r="T124" i="15"/>
  <c r="U124" i="15"/>
  <c r="V124" i="15"/>
  <c r="W124" i="15"/>
  <c r="N125" i="15"/>
  <c r="O125" i="15"/>
  <c r="P125" i="15"/>
  <c r="Q125" i="15"/>
  <c r="R125" i="15"/>
  <c r="S125" i="15"/>
  <c r="T125" i="15"/>
  <c r="U125" i="15"/>
  <c r="V125" i="15"/>
  <c r="W125" i="15"/>
  <c r="N126" i="15"/>
  <c r="O126" i="15"/>
  <c r="P126" i="15"/>
  <c r="Q126" i="15"/>
  <c r="R126" i="15"/>
  <c r="S126" i="15"/>
  <c r="T126" i="15"/>
  <c r="U126" i="15"/>
  <c r="V126" i="15"/>
  <c r="W126" i="15"/>
  <c r="N127" i="15"/>
  <c r="O127" i="15"/>
  <c r="P127" i="15"/>
  <c r="Q127" i="15"/>
  <c r="R127" i="15"/>
  <c r="S127" i="15"/>
  <c r="T127" i="15"/>
  <c r="U127" i="15"/>
  <c r="V127" i="15"/>
  <c r="W127" i="15"/>
  <c r="N128" i="15"/>
  <c r="O128" i="15"/>
  <c r="P128" i="15"/>
  <c r="Q128" i="15"/>
  <c r="R128" i="15"/>
  <c r="S128" i="15"/>
  <c r="T128" i="15"/>
  <c r="U128" i="15"/>
  <c r="V128" i="15"/>
  <c r="W128" i="15"/>
  <c r="N129" i="15"/>
  <c r="O129" i="15"/>
  <c r="P129" i="15"/>
  <c r="Q129" i="15"/>
  <c r="R129" i="15"/>
  <c r="S129" i="15"/>
  <c r="T129" i="15"/>
  <c r="U129" i="15"/>
  <c r="V129" i="15"/>
  <c r="W129" i="15"/>
  <c r="N130" i="15"/>
  <c r="O130" i="15"/>
  <c r="P130" i="15"/>
  <c r="Q130" i="15"/>
  <c r="R130" i="15"/>
  <c r="S130" i="15"/>
  <c r="T130" i="15"/>
  <c r="U130" i="15"/>
  <c r="V130" i="15"/>
  <c r="W130" i="15"/>
  <c r="N131" i="15"/>
  <c r="O131" i="15"/>
  <c r="P131" i="15"/>
  <c r="Q131" i="15"/>
  <c r="R131" i="15"/>
  <c r="S131" i="15"/>
  <c r="T131" i="15"/>
  <c r="U131" i="15"/>
  <c r="V131" i="15"/>
  <c r="W131" i="15"/>
  <c r="N132" i="15"/>
  <c r="O132" i="15"/>
  <c r="P132" i="15"/>
  <c r="Q132" i="15"/>
  <c r="R132" i="15"/>
  <c r="S132" i="15"/>
  <c r="T132" i="15"/>
  <c r="U132" i="15"/>
  <c r="V132" i="15"/>
  <c r="W132" i="15"/>
  <c r="N133" i="15"/>
  <c r="O133" i="15"/>
  <c r="P133" i="15"/>
  <c r="Q133" i="15"/>
  <c r="R133" i="15"/>
  <c r="S133" i="15"/>
  <c r="T133" i="15"/>
  <c r="U133" i="15"/>
  <c r="V133" i="15"/>
  <c r="W133" i="15"/>
  <c r="N134" i="15"/>
  <c r="O134" i="15"/>
  <c r="P134" i="15"/>
  <c r="Q134" i="15"/>
  <c r="R134" i="15"/>
  <c r="S134" i="15"/>
  <c r="T134" i="15"/>
  <c r="U134" i="15"/>
  <c r="V134" i="15"/>
  <c r="W134" i="15"/>
  <c r="N135" i="15"/>
  <c r="O135" i="15"/>
  <c r="P135" i="15"/>
  <c r="Q135" i="15"/>
  <c r="R135" i="15"/>
  <c r="S135" i="15"/>
  <c r="T135" i="15"/>
  <c r="U135" i="15"/>
  <c r="V135" i="15"/>
  <c r="W135" i="15"/>
  <c r="N136" i="15"/>
  <c r="O136" i="15"/>
  <c r="P136" i="15"/>
  <c r="Q136" i="15"/>
  <c r="R136" i="15"/>
  <c r="S136" i="15"/>
  <c r="T136" i="15"/>
  <c r="U136" i="15"/>
  <c r="V136" i="15"/>
  <c r="W136" i="15"/>
  <c r="N137" i="15"/>
  <c r="O137" i="15"/>
  <c r="P137" i="15"/>
  <c r="Q137" i="15"/>
  <c r="R137" i="15"/>
  <c r="S137" i="15"/>
  <c r="T137" i="15"/>
  <c r="U137" i="15"/>
  <c r="V137" i="15"/>
  <c r="W137" i="15"/>
  <c r="N138" i="15"/>
  <c r="O138" i="15"/>
  <c r="P138" i="15"/>
  <c r="Q138" i="15"/>
  <c r="R138" i="15"/>
  <c r="S138" i="15"/>
  <c r="T138" i="15"/>
  <c r="U138" i="15"/>
  <c r="V138" i="15"/>
  <c r="W138" i="15"/>
  <c r="N139" i="15"/>
  <c r="O139" i="15"/>
  <c r="P139" i="15"/>
  <c r="Q139" i="15"/>
  <c r="R139" i="15"/>
  <c r="S139" i="15"/>
  <c r="T139" i="15"/>
  <c r="U139" i="15"/>
  <c r="V139" i="15"/>
  <c r="W139" i="15"/>
  <c r="N140" i="15"/>
  <c r="O140" i="15"/>
  <c r="P140" i="15"/>
  <c r="Q140" i="15"/>
  <c r="R140" i="15"/>
  <c r="S140" i="15"/>
  <c r="T140" i="15"/>
  <c r="U140" i="15"/>
  <c r="V140" i="15"/>
  <c r="W140" i="15"/>
  <c r="N141" i="15"/>
  <c r="O141" i="15"/>
  <c r="P141" i="15"/>
  <c r="Q141" i="15"/>
  <c r="R141" i="15"/>
  <c r="S141" i="15"/>
  <c r="T141" i="15"/>
  <c r="U141" i="15"/>
  <c r="V141" i="15"/>
  <c r="W141" i="15"/>
  <c r="N142" i="15"/>
  <c r="O142" i="15"/>
  <c r="P142" i="15"/>
  <c r="Q142" i="15"/>
  <c r="R142" i="15"/>
  <c r="S142" i="15"/>
  <c r="T142" i="15"/>
  <c r="U142" i="15"/>
  <c r="V142" i="15"/>
  <c r="W142" i="15"/>
  <c r="N143" i="15"/>
  <c r="O143" i="15"/>
  <c r="P143" i="15"/>
  <c r="Q143" i="15"/>
  <c r="R143" i="15"/>
  <c r="S143" i="15"/>
  <c r="T143" i="15"/>
  <c r="U143" i="15"/>
  <c r="V143" i="15"/>
  <c r="W143" i="15"/>
  <c r="N144" i="15"/>
  <c r="O144" i="15"/>
  <c r="P144" i="15"/>
  <c r="Q144" i="15"/>
  <c r="R144" i="15"/>
  <c r="S144" i="15"/>
  <c r="T144" i="15"/>
  <c r="U144" i="15"/>
  <c r="V144" i="15"/>
  <c r="W144" i="15"/>
  <c r="N145" i="15"/>
  <c r="O145" i="15"/>
  <c r="P145" i="15"/>
  <c r="Q145" i="15"/>
  <c r="R145" i="15"/>
  <c r="S145" i="15"/>
  <c r="T145" i="15"/>
  <c r="U145" i="15"/>
  <c r="V145" i="15"/>
  <c r="W145" i="15"/>
  <c r="N146" i="15"/>
  <c r="O146" i="15"/>
  <c r="P146" i="15"/>
  <c r="Q146" i="15"/>
  <c r="R146" i="15"/>
  <c r="S146" i="15"/>
  <c r="T146" i="15"/>
  <c r="U146" i="15"/>
  <c r="V146" i="15"/>
  <c r="W146" i="15"/>
  <c r="N147" i="15"/>
  <c r="O147" i="15"/>
  <c r="P147" i="15"/>
  <c r="Q147" i="15"/>
  <c r="R147" i="15"/>
  <c r="S147" i="15"/>
  <c r="T147" i="15"/>
  <c r="U147" i="15"/>
  <c r="V147" i="15"/>
  <c r="W147" i="15"/>
  <c r="N148" i="15"/>
  <c r="O148" i="15"/>
  <c r="P148" i="15"/>
  <c r="Q148" i="15"/>
  <c r="R148" i="15"/>
  <c r="S148" i="15"/>
  <c r="T148" i="15"/>
  <c r="U148" i="15"/>
  <c r="V148" i="15"/>
  <c r="W148" i="15"/>
  <c r="N149" i="15"/>
  <c r="O149" i="15"/>
  <c r="P149" i="15"/>
  <c r="Q149" i="15"/>
  <c r="R149" i="15"/>
  <c r="S149" i="15"/>
  <c r="T149" i="15"/>
  <c r="U149" i="15"/>
  <c r="V149" i="15"/>
  <c r="W149" i="15"/>
  <c r="N150" i="15"/>
  <c r="O150" i="15"/>
  <c r="P150" i="15"/>
  <c r="Q150" i="15"/>
  <c r="R150" i="15"/>
  <c r="S150" i="15"/>
  <c r="T150" i="15"/>
  <c r="U150" i="15"/>
  <c r="V150" i="15"/>
  <c r="W150" i="15"/>
  <c r="N151" i="15"/>
  <c r="O151" i="15"/>
  <c r="P151" i="15"/>
  <c r="Q151" i="15"/>
  <c r="R151" i="15"/>
  <c r="S151" i="15"/>
  <c r="T151" i="15"/>
  <c r="U151" i="15"/>
  <c r="V151" i="15"/>
  <c r="W151" i="15"/>
  <c r="N152" i="15"/>
  <c r="O152" i="15"/>
  <c r="P152" i="15"/>
  <c r="Q152" i="15"/>
  <c r="R152" i="15"/>
  <c r="S152" i="15"/>
  <c r="T152" i="15"/>
  <c r="U152" i="15"/>
  <c r="V152" i="15"/>
  <c r="W152" i="15"/>
  <c r="N153" i="15"/>
  <c r="O153" i="15"/>
  <c r="P153" i="15"/>
  <c r="Q153" i="15"/>
  <c r="R153" i="15"/>
  <c r="S153" i="15"/>
  <c r="T153" i="15"/>
  <c r="U153" i="15"/>
  <c r="V153" i="15"/>
  <c r="W153" i="15"/>
  <c r="N154" i="15"/>
  <c r="O154" i="15"/>
  <c r="P154" i="15"/>
  <c r="Q154" i="15"/>
  <c r="R154" i="15"/>
  <c r="S154" i="15"/>
  <c r="T154" i="15"/>
  <c r="U154" i="15"/>
  <c r="V154" i="15"/>
  <c r="W154" i="15"/>
  <c r="N155" i="15"/>
  <c r="O155" i="15"/>
  <c r="P155" i="15"/>
  <c r="Q155" i="15"/>
  <c r="R155" i="15"/>
  <c r="S155" i="15"/>
  <c r="T155" i="15"/>
  <c r="U155" i="15"/>
  <c r="V155" i="15"/>
  <c r="W155" i="15"/>
  <c r="N156" i="15"/>
  <c r="O156" i="15"/>
  <c r="P156" i="15"/>
  <c r="Q156" i="15"/>
  <c r="R156" i="15"/>
  <c r="S156" i="15"/>
  <c r="T156" i="15"/>
  <c r="U156" i="15"/>
  <c r="V156" i="15"/>
  <c r="W156" i="15"/>
  <c r="N157" i="15"/>
  <c r="O157" i="15"/>
  <c r="P157" i="15"/>
  <c r="Q157" i="15"/>
  <c r="R157" i="15"/>
  <c r="S157" i="15"/>
  <c r="T157" i="15"/>
  <c r="U157" i="15"/>
  <c r="V157" i="15"/>
  <c r="W157" i="15"/>
  <c r="N158" i="15"/>
  <c r="O158" i="15"/>
  <c r="P158" i="15"/>
  <c r="Q158" i="15"/>
  <c r="R158" i="15"/>
  <c r="S158" i="15"/>
  <c r="T158" i="15"/>
  <c r="U158" i="15"/>
  <c r="V158" i="15"/>
  <c r="W158" i="15"/>
  <c r="N159" i="15"/>
  <c r="O159" i="15"/>
  <c r="P159" i="15"/>
  <c r="Q159" i="15"/>
  <c r="R159" i="15"/>
  <c r="S159" i="15"/>
  <c r="T159" i="15"/>
  <c r="U159" i="15"/>
  <c r="V159" i="15"/>
  <c r="W159" i="15"/>
  <c r="N160" i="15"/>
  <c r="O160" i="15"/>
  <c r="P160" i="15"/>
  <c r="Q160" i="15"/>
  <c r="R160" i="15"/>
  <c r="S160" i="15"/>
  <c r="T160" i="15"/>
  <c r="U160" i="15"/>
  <c r="V160" i="15"/>
  <c r="W160" i="15"/>
  <c r="N161" i="15"/>
  <c r="O161" i="15"/>
  <c r="P161" i="15"/>
  <c r="Q161" i="15"/>
  <c r="R161" i="15"/>
  <c r="S161" i="15"/>
  <c r="T161" i="15"/>
  <c r="U161" i="15"/>
  <c r="V161" i="15"/>
  <c r="W161" i="15"/>
  <c r="N162" i="15"/>
  <c r="O162" i="15"/>
  <c r="P162" i="15"/>
  <c r="Q162" i="15"/>
  <c r="R162" i="15"/>
  <c r="S162" i="15"/>
  <c r="T162" i="15"/>
  <c r="U162" i="15"/>
  <c r="V162" i="15"/>
  <c r="W162" i="15"/>
  <c r="N163" i="15"/>
  <c r="O163" i="15"/>
  <c r="P163" i="15"/>
  <c r="Q163" i="15"/>
  <c r="R163" i="15"/>
  <c r="S163" i="15"/>
  <c r="T163" i="15"/>
  <c r="U163" i="15"/>
  <c r="V163" i="15"/>
  <c r="W163" i="15"/>
  <c r="N164" i="15"/>
  <c r="O164" i="15"/>
  <c r="P164" i="15"/>
  <c r="Q164" i="15"/>
  <c r="R164" i="15"/>
  <c r="S164" i="15"/>
  <c r="T164" i="15"/>
  <c r="U164" i="15"/>
  <c r="V164" i="15"/>
  <c r="W164" i="15"/>
  <c r="N165" i="15"/>
  <c r="O165" i="15"/>
  <c r="P165" i="15"/>
  <c r="Q165" i="15"/>
  <c r="R165" i="15"/>
  <c r="S165" i="15"/>
  <c r="T165" i="15"/>
  <c r="U165" i="15"/>
  <c r="V165" i="15"/>
  <c r="W165" i="15"/>
  <c r="N166" i="15"/>
  <c r="O166" i="15"/>
  <c r="P166" i="15"/>
  <c r="Q166" i="15"/>
  <c r="R166" i="15"/>
  <c r="S166" i="15"/>
  <c r="T166" i="15"/>
  <c r="U166" i="15"/>
  <c r="V166" i="15"/>
  <c r="W166" i="15"/>
  <c r="N167" i="15"/>
  <c r="O167" i="15"/>
  <c r="P167" i="15"/>
  <c r="Q167" i="15"/>
  <c r="R167" i="15"/>
  <c r="S167" i="15"/>
  <c r="T167" i="15"/>
  <c r="U167" i="15"/>
  <c r="V167" i="15"/>
  <c r="W167" i="15"/>
  <c r="N168" i="15"/>
  <c r="O168" i="15"/>
  <c r="P168" i="15"/>
  <c r="Q168" i="15"/>
  <c r="R168" i="15"/>
  <c r="S168" i="15"/>
  <c r="T168" i="15"/>
  <c r="U168" i="15"/>
  <c r="V168" i="15"/>
  <c r="W168" i="15"/>
  <c r="N169" i="15"/>
  <c r="O169" i="15"/>
  <c r="P169" i="15"/>
  <c r="Q169" i="15"/>
  <c r="R169" i="15"/>
  <c r="S169" i="15"/>
  <c r="T169" i="15"/>
  <c r="U169" i="15"/>
  <c r="V169" i="15"/>
  <c r="W169" i="15"/>
  <c r="N170" i="15"/>
  <c r="O170" i="15"/>
  <c r="P170" i="15"/>
  <c r="Q170" i="15"/>
  <c r="R170" i="15"/>
  <c r="S170" i="15"/>
  <c r="T170" i="15"/>
  <c r="U170" i="15"/>
  <c r="V170" i="15"/>
  <c r="W170" i="15"/>
  <c r="N171" i="15"/>
  <c r="O171" i="15"/>
  <c r="P171" i="15"/>
  <c r="Q171" i="15"/>
  <c r="R171" i="15"/>
  <c r="S171" i="15"/>
  <c r="T171" i="15"/>
  <c r="U171" i="15"/>
  <c r="V171" i="15"/>
  <c r="W171" i="15"/>
  <c r="N172" i="15"/>
  <c r="O172" i="15"/>
  <c r="P172" i="15"/>
  <c r="Q172" i="15"/>
  <c r="R172" i="15"/>
  <c r="S172" i="15"/>
  <c r="T172" i="15"/>
  <c r="U172" i="15"/>
  <c r="V172" i="15"/>
  <c r="W172" i="15"/>
  <c r="N173" i="15"/>
  <c r="O173" i="15"/>
  <c r="P173" i="15"/>
  <c r="Q173" i="15"/>
  <c r="R173" i="15"/>
  <c r="S173" i="15"/>
  <c r="T173" i="15"/>
  <c r="U173" i="15"/>
  <c r="V173" i="15"/>
  <c r="W173" i="15"/>
  <c r="N174" i="15"/>
  <c r="O174" i="15"/>
  <c r="P174" i="15"/>
  <c r="Q174" i="15"/>
  <c r="R174" i="15"/>
  <c r="S174" i="15"/>
  <c r="T174" i="15"/>
  <c r="U174" i="15"/>
  <c r="V174" i="15"/>
  <c r="W174" i="15"/>
  <c r="N175" i="15"/>
  <c r="O175" i="15"/>
  <c r="P175" i="15"/>
  <c r="Q175" i="15"/>
  <c r="R175" i="15"/>
  <c r="S175" i="15"/>
  <c r="T175" i="15"/>
  <c r="U175" i="15"/>
  <c r="V175" i="15"/>
  <c r="W175" i="15"/>
  <c r="N176" i="15"/>
  <c r="O176" i="15"/>
  <c r="P176" i="15"/>
  <c r="Q176" i="15"/>
  <c r="R176" i="15"/>
  <c r="S176" i="15"/>
  <c r="T176" i="15"/>
  <c r="U176" i="15"/>
  <c r="V176" i="15"/>
  <c r="W176" i="15"/>
  <c r="N177" i="15"/>
  <c r="O177" i="15"/>
  <c r="P177" i="15"/>
  <c r="Q177" i="15"/>
  <c r="R177" i="15"/>
  <c r="S177" i="15"/>
  <c r="T177" i="15"/>
  <c r="U177" i="15"/>
  <c r="V177" i="15"/>
  <c r="W177" i="15"/>
  <c r="N178" i="15"/>
  <c r="O178" i="15"/>
  <c r="P178" i="15"/>
  <c r="Q178" i="15"/>
  <c r="R178" i="15"/>
  <c r="S178" i="15"/>
  <c r="T178" i="15"/>
  <c r="U178" i="15"/>
  <c r="V178" i="15"/>
  <c r="W178" i="15"/>
  <c r="N179" i="15"/>
  <c r="O179" i="15"/>
  <c r="P179" i="15"/>
  <c r="Q179" i="15"/>
  <c r="R179" i="15"/>
  <c r="S179" i="15"/>
  <c r="T179" i="15"/>
  <c r="U179" i="15"/>
  <c r="V179" i="15"/>
  <c r="W179" i="15"/>
  <c r="N180" i="15"/>
  <c r="O180" i="15"/>
  <c r="P180" i="15"/>
  <c r="Q180" i="15"/>
  <c r="R180" i="15"/>
  <c r="S180" i="15"/>
  <c r="T180" i="15"/>
  <c r="U180" i="15"/>
  <c r="V180" i="15"/>
  <c r="W180" i="15"/>
  <c r="N181" i="15"/>
  <c r="O181" i="15"/>
  <c r="P181" i="15"/>
  <c r="Q181" i="15"/>
  <c r="R181" i="15"/>
  <c r="S181" i="15"/>
  <c r="T181" i="15"/>
  <c r="U181" i="15"/>
  <c r="V181" i="15"/>
  <c r="W181" i="15"/>
  <c r="N182" i="15"/>
  <c r="O182" i="15"/>
  <c r="P182" i="15"/>
  <c r="Q182" i="15"/>
  <c r="R182" i="15"/>
  <c r="S182" i="15"/>
  <c r="T182" i="15"/>
  <c r="U182" i="15"/>
  <c r="V182" i="15"/>
  <c r="W182" i="15"/>
  <c r="N183" i="15"/>
  <c r="O183" i="15"/>
  <c r="P183" i="15"/>
  <c r="Q183" i="15"/>
  <c r="R183" i="15"/>
  <c r="S183" i="15"/>
  <c r="T183" i="15"/>
  <c r="U183" i="15"/>
  <c r="V183" i="15"/>
  <c r="W183" i="15"/>
  <c r="N184" i="15"/>
  <c r="O184" i="15"/>
  <c r="P184" i="15"/>
  <c r="Q184" i="15"/>
  <c r="R184" i="15"/>
  <c r="S184" i="15"/>
  <c r="T184" i="15"/>
  <c r="U184" i="15"/>
  <c r="V184" i="15"/>
  <c r="W184" i="15"/>
  <c r="N185" i="15"/>
  <c r="O185" i="15"/>
  <c r="P185" i="15"/>
  <c r="Q185" i="15"/>
  <c r="R185" i="15"/>
  <c r="S185" i="15"/>
  <c r="T185" i="15"/>
  <c r="U185" i="15"/>
  <c r="V185" i="15"/>
  <c r="W185" i="15"/>
  <c r="N186" i="15"/>
  <c r="O186" i="15"/>
  <c r="P186" i="15"/>
  <c r="Q186" i="15"/>
  <c r="R186" i="15"/>
  <c r="S186" i="15"/>
  <c r="T186" i="15"/>
  <c r="U186" i="15"/>
  <c r="V186" i="15"/>
  <c r="W186" i="15"/>
  <c r="N187" i="15"/>
  <c r="O187" i="15"/>
  <c r="P187" i="15"/>
  <c r="Q187" i="15"/>
  <c r="R187" i="15"/>
  <c r="S187" i="15"/>
  <c r="T187" i="15"/>
  <c r="U187" i="15"/>
  <c r="V187" i="15"/>
  <c r="W187" i="15"/>
  <c r="N188" i="15"/>
  <c r="O188" i="15"/>
  <c r="P188" i="15"/>
  <c r="Q188" i="15"/>
  <c r="R188" i="15"/>
  <c r="S188" i="15"/>
  <c r="T188" i="15"/>
  <c r="U188" i="15"/>
  <c r="V188" i="15"/>
  <c r="W188" i="15"/>
  <c r="N189" i="15"/>
  <c r="O189" i="15"/>
  <c r="P189" i="15"/>
  <c r="Q189" i="15"/>
  <c r="R189" i="15"/>
  <c r="S189" i="15"/>
  <c r="T189" i="15"/>
  <c r="U189" i="15"/>
  <c r="V189" i="15"/>
  <c r="W189" i="15"/>
  <c r="N190" i="15"/>
  <c r="O190" i="15"/>
  <c r="P190" i="15"/>
  <c r="Q190" i="15"/>
  <c r="R190" i="15"/>
  <c r="S190" i="15"/>
  <c r="T190" i="15"/>
  <c r="U190" i="15"/>
  <c r="V190" i="15"/>
  <c r="W190" i="15"/>
  <c r="N191" i="15"/>
  <c r="O191" i="15"/>
  <c r="P191" i="15"/>
  <c r="Q191" i="15"/>
  <c r="R191" i="15"/>
  <c r="S191" i="15"/>
  <c r="T191" i="15"/>
  <c r="U191" i="15"/>
  <c r="V191" i="15"/>
  <c r="W191" i="15"/>
  <c r="N192" i="15"/>
  <c r="O192" i="15"/>
  <c r="P192" i="15"/>
  <c r="Q192" i="15"/>
  <c r="R192" i="15"/>
  <c r="S192" i="15"/>
  <c r="T192" i="15"/>
  <c r="U192" i="15"/>
  <c r="V192" i="15"/>
  <c r="W192" i="15"/>
  <c r="N193" i="15"/>
  <c r="O193" i="15"/>
  <c r="P193" i="15"/>
  <c r="Q193" i="15"/>
  <c r="R193" i="15"/>
  <c r="S193" i="15"/>
  <c r="T193" i="15"/>
  <c r="U193" i="15"/>
  <c r="V193" i="15"/>
  <c r="W193" i="15"/>
  <c r="N194" i="15"/>
  <c r="O194" i="15"/>
  <c r="P194" i="15"/>
  <c r="Q194" i="15"/>
  <c r="R194" i="15"/>
  <c r="S194" i="15"/>
  <c r="T194" i="15"/>
  <c r="U194" i="15"/>
  <c r="V194" i="15"/>
  <c r="W194" i="15"/>
  <c r="N195" i="15"/>
  <c r="O195" i="15"/>
  <c r="P195" i="15"/>
  <c r="Q195" i="15"/>
  <c r="R195" i="15"/>
  <c r="S195" i="15"/>
  <c r="T195" i="15"/>
  <c r="U195" i="15"/>
  <c r="V195" i="15"/>
  <c r="W195" i="15"/>
  <c r="N196" i="15"/>
  <c r="O196" i="15"/>
  <c r="P196" i="15"/>
  <c r="Q196" i="15"/>
  <c r="R196" i="15"/>
  <c r="S196" i="15"/>
  <c r="T196" i="15"/>
  <c r="U196" i="15"/>
  <c r="V196" i="15"/>
  <c r="W196" i="15"/>
  <c r="N197" i="15"/>
  <c r="O197" i="15"/>
  <c r="P197" i="15"/>
  <c r="Q197" i="15"/>
  <c r="R197" i="15"/>
  <c r="S197" i="15"/>
  <c r="T197" i="15"/>
  <c r="U197" i="15"/>
  <c r="V197" i="15"/>
  <c r="W197" i="15"/>
  <c r="N198" i="15"/>
  <c r="O198" i="15"/>
  <c r="P198" i="15"/>
  <c r="Q198" i="15"/>
  <c r="R198" i="15"/>
  <c r="S198" i="15"/>
  <c r="T198" i="15"/>
  <c r="U198" i="15"/>
  <c r="V198" i="15"/>
  <c r="W198" i="15"/>
  <c r="N199" i="15"/>
  <c r="O199" i="15"/>
  <c r="P199" i="15"/>
  <c r="Q199" i="15"/>
  <c r="R199" i="15"/>
  <c r="S199" i="15"/>
  <c r="T199" i="15"/>
  <c r="U199" i="15"/>
  <c r="V199" i="15"/>
  <c r="W199" i="15"/>
  <c r="N200" i="15"/>
  <c r="O200" i="15"/>
  <c r="P200" i="15"/>
  <c r="Q200" i="15"/>
  <c r="R200" i="15"/>
  <c r="S200" i="15"/>
  <c r="T200" i="15"/>
  <c r="U200" i="15"/>
  <c r="V200" i="15"/>
  <c r="W200" i="15"/>
  <c r="N201" i="15"/>
  <c r="O201" i="15"/>
  <c r="P201" i="15"/>
  <c r="Q201" i="15"/>
  <c r="R201" i="15"/>
  <c r="S201" i="15"/>
  <c r="T201" i="15"/>
  <c r="U201" i="15"/>
  <c r="V201" i="15"/>
  <c r="W201" i="15"/>
  <c r="N202" i="15"/>
  <c r="O202" i="15"/>
  <c r="P202" i="15"/>
  <c r="Q202" i="15"/>
  <c r="R202" i="15"/>
  <c r="S202" i="15"/>
  <c r="T202" i="15"/>
  <c r="U202" i="15"/>
  <c r="V202" i="15"/>
  <c r="W202" i="15"/>
  <c r="N203" i="15"/>
  <c r="O203" i="15"/>
  <c r="P203" i="15"/>
  <c r="Q203" i="15"/>
  <c r="R203" i="15"/>
  <c r="S203" i="15"/>
  <c r="T203" i="15"/>
  <c r="U203" i="15"/>
  <c r="V203" i="15"/>
  <c r="W203" i="15"/>
  <c r="N204" i="15"/>
  <c r="O204" i="15"/>
  <c r="P204" i="15"/>
  <c r="Q204" i="15"/>
  <c r="R204" i="15"/>
  <c r="S204" i="15"/>
  <c r="T204" i="15"/>
  <c r="U204" i="15"/>
  <c r="V204" i="15"/>
  <c r="W204" i="15"/>
  <c r="N205" i="15"/>
  <c r="O205" i="15"/>
  <c r="P205" i="15"/>
  <c r="Q205" i="15"/>
  <c r="R205" i="15"/>
  <c r="S205" i="15"/>
  <c r="T205" i="15"/>
  <c r="U205" i="15"/>
  <c r="V205" i="15"/>
  <c r="W205" i="15"/>
  <c r="N206" i="15"/>
  <c r="O206" i="15"/>
  <c r="P206" i="15"/>
  <c r="Q206" i="15"/>
  <c r="R206" i="15"/>
  <c r="S206" i="15"/>
  <c r="T206" i="15"/>
  <c r="U206" i="15"/>
  <c r="V206" i="15"/>
  <c r="W206" i="15"/>
  <c r="N207" i="15"/>
  <c r="O207" i="15"/>
  <c r="P207" i="15"/>
  <c r="Q207" i="15"/>
  <c r="R207" i="15"/>
  <c r="S207" i="15"/>
  <c r="T207" i="15"/>
  <c r="U207" i="15"/>
  <c r="V207" i="15"/>
  <c r="W207" i="15"/>
  <c r="N208" i="15"/>
  <c r="O208" i="15"/>
  <c r="P208" i="15"/>
  <c r="Q208" i="15"/>
  <c r="R208" i="15"/>
  <c r="S208" i="15"/>
  <c r="T208" i="15"/>
  <c r="U208" i="15"/>
  <c r="V208" i="15"/>
  <c r="W208" i="15"/>
  <c r="N209" i="15"/>
  <c r="O209" i="15"/>
  <c r="P209" i="15"/>
  <c r="Q209" i="15"/>
  <c r="R209" i="15"/>
  <c r="S209" i="15"/>
  <c r="T209" i="15"/>
  <c r="U209" i="15"/>
  <c r="V209" i="15"/>
  <c r="W209" i="15"/>
  <c r="N210" i="15"/>
  <c r="O210" i="15"/>
  <c r="P210" i="15"/>
  <c r="Q210" i="15"/>
  <c r="R210" i="15"/>
  <c r="S210" i="15"/>
  <c r="T210" i="15"/>
  <c r="U210" i="15"/>
  <c r="V210" i="15"/>
  <c r="W210" i="15"/>
  <c r="N211" i="15"/>
  <c r="O211" i="15"/>
  <c r="P211" i="15"/>
  <c r="Q211" i="15"/>
  <c r="R211" i="15"/>
  <c r="S211" i="15"/>
  <c r="T211" i="15"/>
  <c r="U211" i="15"/>
  <c r="V211" i="15"/>
  <c r="W211" i="15"/>
  <c r="N212" i="15"/>
  <c r="O212" i="15"/>
  <c r="P212" i="15"/>
  <c r="Q212" i="15"/>
  <c r="R212" i="15"/>
  <c r="S212" i="15"/>
  <c r="T212" i="15"/>
  <c r="U212" i="15"/>
  <c r="V212" i="15"/>
  <c r="W212" i="15"/>
  <c r="N213" i="15"/>
  <c r="O213" i="15"/>
  <c r="P213" i="15"/>
  <c r="Q213" i="15"/>
  <c r="R213" i="15"/>
  <c r="S213" i="15"/>
  <c r="T213" i="15"/>
  <c r="U213" i="15"/>
  <c r="V213" i="15"/>
  <c r="W213" i="15"/>
  <c r="N214" i="15"/>
  <c r="O214" i="15"/>
  <c r="P214" i="15"/>
  <c r="Q214" i="15"/>
  <c r="R214" i="15"/>
  <c r="S214" i="15"/>
  <c r="T214" i="15"/>
  <c r="U214" i="15"/>
  <c r="V214" i="15"/>
  <c r="W214" i="15"/>
  <c r="N215" i="15"/>
  <c r="O215" i="15"/>
  <c r="P215" i="15"/>
  <c r="Q215" i="15"/>
  <c r="R215" i="15"/>
  <c r="S215" i="15"/>
  <c r="T215" i="15"/>
  <c r="U215" i="15"/>
  <c r="V215" i="15"/>
  <c r="W215" i="15"/>
  <c r="N216" i="15"/>
  <c r="O216" i="15"/>
  <c r="P216" i="15"/>
  <c r="Q216" i="15"/>
  <c r="R216" i="15"/>
  <c r="S216" i="15"/>
  <c r="T216" i="15"/>
  <c r="U216" i="15"/>
  <c r="V216" i="15"/>
  <c r="W216" i="15"/>
  <c r="N217" i="15"/>
  <c r="O217" i="15"/>
  <c r="P217" i="15"/>
  <c r="Q217" i="15"/>
  <c r="R217" i="15"/>
  <c r="S217" i="15"/>
  <c r="T217" i="15"/>
  <c r="U217" i="15"/>
  <c r="V217" i="15"/>
  <c r="W217" i="15"/>
  <c r="N218" i="15"/>
  <c r="O218" i="15"/>
  <c r="P218" i="15"/>
  <c r="Q218" i="15"/>
  <c r="R218" i="15"/>
  <c r="S218" i="15"/>
  <c r="T218" i="15"/>
  <c r="U218" i="15"/>
  <c r="V218" i="15"/>
  <c r="W218" i="15"/>
  <c r="N219" i="15"/>
  <c r="O219" i="15"/>
  <c r="P219" i="15"/>
  <c r="Q219" i="15"/>
  <c r="R219" i="15"/>
  <c r="S219" i="15"/>
  <c r="T219" i="15"/>
  <c r="U219" i="15"/>
  <c r="V219" i="15"/>
  <c r="W219" i="15"/>
  <c r="N220" i="15"/>
  <c r="O220" i="15"/>
  <c r="P220" i="15"/>
  <c r="Q220" i="15"/>
  <c r="R220" i="15"/>
  <c r="S220" i="15"/>
  <c r="T220" i="15"/>
  <c r="U220" i="15"/>
  <c r="V220" i="15"/>
  <c r="W220" i="15"/>
  <c r="N221" i="15"/>
  <c r="O221" i="15"/>
  <c r="P221" i="15"/>
  <c r="Q221" i="15"/>
  <c r="R221" i="15"/>
  <c r="S221" i="15"/>
  <c r="T221" i="15"/>
  <c r="U221" i="15"/>
  <c r="V221" i="15"/>
  <c r="W221" i="15"/>
  <c r="N222" i="15"/>
  <c r="O222" i="15"/>
  <c r="P222" i="15"/>
  <c r="Q222" i="15"/>
  <c r="R222" i="15"/>
  <c r="S222" i="15"/>
  <c r="T222" i="15"/>
  <c r="U222" i="15"/>
  <c r="V222" i="15"/>
  <c r="W222" i="15"/>
  <c r="N223" i="15"/>
  <c r="O223" i="15"/>
  <c r="P223" i="15"/>
  <c r="Q223" i="15"/>
  <c r="R223" i="15"/>
  <c r="S223" i="15"/>
  <c r="T223" i="15"/>
  <c r="U223" i="15"/>
  <c r="V223" i="15"/>
  <c r="W223" i="15"/>
  <c r="N224" i="15"/>
  <c r="O224" i="15"/>
  <c r="P224" i="15"/>
  <c r="Q224" i="15"/>
  <c r="R224" i="15"/>
  <c r="S224" i="15"/>
  <c r="T224" i="15"/>
  <c r="U224" i="15"/>
  <c r="V224" i="15"/>
  <c r="W224" i="15"/>
  <c r="N225" i="15"/>
  <c r="O225" i="15"/>
  <c r="P225" i="15"/>
  <c r="Q225" i="15"/>
  <c r="R225" i="15"/>
  <c r="S225" i="15"/>
  <c r="T225" i="15"/>
  <c r="U225" i="15"/>
  <c r="V225" i="15"/>
  <c r="W225" i="15"/>
  <c r="N226" i="15"/>
  <c r="O226" i="15"/>
  <c r="P226" i="15"/>
  <c r="Q226" i="15"/>
  <c r="R226" i="15"/>
  <c r="S226" i="15"/>
  <c r="T226" i="15"/>
  <c r="U226" i="15"/>
  <c r="V226" i="15"/>
  <c r="W226" i="15"/>
  <c r="N227" i="15"/>
  <c r="O227" i="15"/>
  <c r="P227" i="15"/>
  <c r="Q227" i="15"/>
  <c r="R227" i="15"/>
  <c r="S227" i="15"/>
  <c r="T227" i="15"/>
  <c r="U227" i="15"/>
  <c r="V227" i="15"/>
  <c r="W227" i="15"/>
  <c r="N228" i="15"/>
  <c r="O228" i="15"/>
  <c r="P228" i="15"/>
  <c r="Q228" i="15"/>
  <c r="R228" i="15"/>
  <c r="S228" i="15"/>
  <c r="T228" i="15"/>
  <c r="U228" i="15"/>
  <c r="V228" i="15"/>
  <c r="W228" i="15"/>
  <c r="N229" i="15"/>
  <c r="O229" i="15"/>
  <c r="P229" i="15"/>
  <c r="Q229" i="15"/>
  <c r="R229" i="15"/>
  <c r="S229" i="15"/>
  <c r="T229" i="15"/>
  <c r="U229" i="15"/>
  <c r="V229" i="15"/>
  <c r="W229" i="15"/>
  <c r="N230" i="15"/>
  <c r="O230" i="15"/>
  <c r="P230" i="15"/>
  <c r="Q230" i="15"/>
  <c r="R230" i="15"/>
  <c r="S230" i="15"/>
  <c r="T230" i="15"/>
  <c r="U230" i="15"/>
  <c r="V230" i="15"/>
  <c r="W230" i="15"/>
  <c r="N231" i="15"/>
  <c r="O231" i="15"/>
  <c r="P231" i="15"/>
  <c r="Q231" i="15"/>
  <c r="R231" i="15"/>
  <c r="S231" i="15"/>
  <c r="T231" i="15"/>
  <c r="U231" i="15"/>
  <c r="V231" i="15"/>
  <c r="W231" i="15"/>
  <c r="N232" i="15"/>
  <c r="O232" i="15"/>
  <c r="P232" i="15"/>
  <c r="Q232" i="15"/>
  <c r="R232" i="15"/>
  <c r="S232" i="15"/>
  <c r="T232" i="15"/>
  <c r="U232" i="15"/>
  <c r="V232" i="15"/>
  <c r="W232" i="15"/>
  <c r="N233" i="15"/>
  <c r="O233" i="15"/>
  <c r="P233" i="15"/>
  <c r="Q233" i="15"/>
  <c r="R233" i="15"/>
  <c r="S233" i="15"/>
  <c r="T233" i="15"/>
  <c r="U233" i="15"/>
  <c r="V233" i="15"/>
  <c r="W233" i="15"/>
  <c r="N234" i="15"/>
  <c r="O234" i="15"/>
  <c r="P234" i="15"/>
  <c r="Q234" i="15"/>
  <c r="R234" i="15"/>
  <c r="S234" i="15"/>
  <c r="T234" i="15"/>
  <c r="U234" i="15"/>
  <c r="V234" i="15"/>
  <c r="W234" i="15"/>
  <c r="N235" i="15"/>
  <c r="O235" i="15"/>
  <c r="P235" i="15"/>
  <c r="Q235" i="15"/>
  <c r="R235" i="15"/>
  <c r="S235" i="15"/>
  <c r="T235" i="15"/>
  <c r="U235" i="15"/>
  <c r="V235" i="15"/>
  <c r="W235" i="15"/>
  <c r="N236" i="15"/>
  <c r="O236" i="15"/>
  <c r="P236" i="15"/>
  <c r="Q236" i="15"/>
  <c r="R236" i="15"/>
  <c r="S236" i="15"/>
  <c r="T236" i="15"/>
  <c r="U236" i="15"/>
  <c r="V236" i="15"/>
  <c r="W236" i="15"/>
  <c r="N237" i="15"/>
  <c r="O237" i="15"/>
  <c r="P237" i="15"/>
  <c r="Q237" i="15"/>
  <c r="R237" i="15"/>
  <c r="S237" i="15"/>
  <c r="T237" i="15"/>
  <c r="U237" i="15"/>
  <c r="V237" i="15"/>
  <c r="W237" i="15"/>
  <c r="N238" i="15"/>
  <c r="O238" i="15"/>
  <c r="P238" i="15"/>
  <c r="Q238" i="15"/>
  <c r="R238" i="15"/>
  <c r="S238" i="15"/>
  <c r="T238" i="15"/>
  <c r="U238" i="15"/>
  <c r="V238" i="15"/>
  <c r="W238" i="15"/>
  <c r="N239" i="15"/>
  <c r="O239" i="15"/>
  <c r="P239" i="15"/>
  <c r="Q239" i="15"/>
  <c r="R239" i="15"/>
  <c r="S239" i="15"/>
  <c r="T239" i="15"/>
  <c r="U239" i="15"/>
  <c r="V239" i="15"/>
  <c r="W239" i="15"/>
  <c r="N240" i="15"/>
  <c r="O240" i="15"/>
  <c r="P240" i="15"/>
  <c r="Q240" i="15"/>
  <c r="R240" i="15"/>
  <c r="S240" i="15"/>
  <c r="T240" i="15"/>
  <c r="U240" i="15"/>
  <c r="V240" i="15"/>
  <c r="W240" i="15"/>
  <c r="N241" i="15"/>
  <c r="O241" i="15"/>
  <c r="P241" i="15"/>
  <c r="Q241" i="15"/>
  <c r="R241" i="15"/>
  <c r="S241" i="15"/>
  <c r="T241" i="15"/>
  <c r="U241" i="15"/>
  <c r="V241" i="15"/>
  <c r="W241" i="15"/>
  <c r="N242" i="15"/>
  <c r="O242" i="15"/>
  <c r="P242" i="15"/>
  <c r="Q242" i="15"/>
  <c r="R242" i="15"/>
  <c r="S242" i="15"/>
  <c r="T242" i="15"/>
  <c r="U242" i="15"/>
  <c r="V242" i="15"/>
  <c r="W242" i="15"/>
  <c r="N243" i="15"/>
  <c r="O243" i="15"/>
  <c r="P243" i="15"/>
  <c r="Q243" i="15"/>
  <c r="R243" i="15"/>
  <c r="S243" i="15"/>
  <c r="T243" i="15"/>
  <c r="U243" i="15"/>
  <c r="V243" i="15"/>
  <c r="W243" i="15"/>
  <c r="N244" i="15"/>
  <c r="O244" i="15"/>
  <c r="P244" i="15"/>
  <c r="Q244" i="15"/>
  <c r="R244" i="15"/>
  <c r="S244" i="15"/>
  <c r="T244" i="15"/>
  <c r="U244" i="15"/>
  <c r="V244" i="15"/>
  <c r="W244" i="15"/>
  <c r="N245" i="15"/>
  <c r="O245" i="15"/>
  <c r="P245" i="15"/>
  <c r="Q245" i="15"/>
  <c r="R245" i="15"/>
  <c r="S245" i="15"/>
  <c r="T245" i="15"/>
  <c r="U245" i="15"/>
  <c r="V245" i="15"/>
  <c r="W245" i="15"/>
  <c r="N246" i="15"/>
  <c r="O246" i="15"/>
  <c r="P246" i="15"/>
  <c r="Q246" i="15"/>
  <c r="R246" i="15"/>
  <c r="S246" i="15"/>
  <c r="T246" i="15"/>
  <c r="U246" i="15"/>
  <c r="V246" i="15"/>
  <c r="W246" i="15"/>
  <c r="N247" i="15"/>
  <c r="O247" i="15"/>
  <c r="P247" i="15"/>
  <c r="Q247" i="15"/>
  <c r="R247" i="15"/>
  <c r="S247" i="15"/>
  <c r="T247" i="15"/>
  <c r="U247" i="15"/>
  <c r="V247" i="15"/>
  <c r="W247" i="15"/>
  <c r="N248" i="15"/>
  <c r="O248" i="15"/>
  <c r="P248" i="15"/>
  <c r="Q248" i="15"/>
  <c r="R248" i="15"/>
  <c r="S248" i="15"/>
  <c r="T248" i="15"/>
  <c r="U248" i="15"/>
  <c r="V248" i="15"/>
  <c r="W248" i="15"/>
  <c r="N249" i="15"/>
  <c r="O249" i="15"/>
  <c r="P249" i="15"/>
  <c r="Q249" i="15"/>
  <c r="R249" i="15"/>
  <c r="S249" i="15"/>
  <c r="T249" i="15"/>
  <c r="U249" i="15"/>
  <c r="V249" i="15"/>
  <c r="W249" i="15"/>
  <c r="N250" i="15"/>
  <c r="O250" i="15"/>
  <c r="P250" i="15"/>
  <c r="Q250" i="15"/>
  <c r="R250" i="15"/>
  <c r="S250" i="15"/>
  <c r="T250" i="15"/>
  <c r="U250" i="15"/>
  <c r="V250" i="15"/>
  <c r="W250" i="15"/>
  <c r="N251" i="15"/>
  <c r="O251" i="15"/>
  <c r="P251" i="15"/>
  <c r="Q251" i="15"/>
  <c r="R251" i="15"/>
  <c r="S251" i="15"/>
  <c r="T251" i="15"/>
  <c r="U251" i="15"/>
  <c r="V251" i="15"/>
  <c r="W251" i="15"/>
  <c r="N252" i="15"/>
  <c r="O252" i="15"/>
  <c r="P252" i="15"/>
  <c r="Q252" i="15"/>
  <c r="R252" i="15"/>
  <c r="S252" i="15"/>
  <c r="T252" i="15"/>
  <c r="U252" i="15"/>
  <c r="V252" i="15"/>
  <c r="W252" i="15"/>
  <c r="N253" i="15"/>
  <c r="O253" i="15"/>
  <c r="P253" i="15"/>
  <c r="Q253" i="15"/>
  <c r="R253" i="15"/>
  <c r="S253" i="15"/>
  <c r="T253" i="15"/>
  <c r="U253" i="15"/>
  <c r="V253" i="15"/>
  <c r="W253" i="15"/>
  <c r="N254" i="15"/>
  <c r="O254" i="15"/>
  <c r="P254" i="15"/>
  <c r="Q254" i="15"/>
  <c r="R254" i="15"/>
  <c r="S254" i="15"/>
  <c r="T254" i="15"/>
  <c r="U254" i="15"/>
  <c r="V254" i="15"/>
  <c r="W254" i="15"/>
  <c r="O5" i="15"/>
  <c r="P5" i="15"/>
  <c r="Q5" i="15"/>
  <c r="R5" i="15"/>
  <c r="S5" i="15"/>
  <c r="T5" i="15"/>
  <c r="U5" i="15"/>
  <c r="V5" i="15"/>
  <c r="W5" i="15"/>
  <c r="N5" i="15"/>
  <c r="AP16" i="15" l="1"/>
  <c r="AS16" i="15"/>
  <c r="AL16" i="15"/>
  <c r="AO16" i="15"/>
  <c r="AT16" i="15"/>
  <c r="AR16" i="15"/>
  <c r="AN16" i="15"/>
  <c r="AK16" i="15"/>
  <c r="Y3" i="15"/>
  <c r="AQ16" i="15"/>
  <c r="AM16" i="15"/>
  <c r="AK19" i="15" l="1" a="1"/>
  <c r="AK19" i="15" s="1"/>
  <c r="Y255" i="15"/>
  <c r="AF110" i="15"/>
  <c r="Z117" i="15"/>
  <c r="AH121" i="15"/>
  <c r="AF126" i="15"/>
  <c r="AD131" i="15"/>
  <c r="AB136" i="15"/>
  <c r="AD139" i="15"/>
  <c r="AF142" i="15"/>
  <c r="AD147" i="15"/>
  <c r="AF150" i="15"/>
  <c r="AD155" i="15"/>
  <c r="AF158" i="15"/>
  <c r="AH161" i="15"/>
  <c r="AF166" i="15"/>
  <c r="AH169" i="15"/>
  <c r="Y174" i="15"/>
  <c r="AB178" i="15"/>
  <c r="AD181" i="15"/>
  <c r="AE183" i="15"/>
  <c r="Z191" i="15"/>
  <c r="AC7" i="15"/>
  <c r="Y16" i="15"/>
  <c r="Y40" i="15"/>
  <c r="AB44" i="15"/>
  <c r="AB48" i="15"/>
  <c r="AD51" i="15"/>
  <c r="AF54" i="15"/>
  <c r="AH57" i="15"/>
  <c r="Z61" i="15"/>
  <c r="AB64" i="15"/>
  <c r="AD67" i="15"/>
  <c r="AF70" i="15"/>
  <c r="AH73" i="15"/>
  <c r="Z77" i="15"/>
  <c r="AB80" i="15"/>
  <c r="AD83" i="15"/>
  <c r="AF86" i="15"/>
  <c r="AH89" i="15"/>
  <c r="Z93" i="15"/>
  <c r="AH97" i="15"/>
  <c r="AD99" i="15"/>
  <c r="Z101" i="15"/>
  <c r="AF102" i="15"/>
  <c r="AB104" i="15"/>
  <c r="AH105" i="15"/>
  <c r="AD107" i="15"/>
  <c r="Z109" i="15"/>
  <c r="AB112" i="15"/>
  <c r="AH113" i="15"/>
  <c r="AD115" i="15"/>
  <c r="AF118" i="15"/>
  <c r="AB120" i="15"/>
  <c r="AD123" i="15"/>
  <c r="Z125" i="15"/>
  <c r="AB128" i="15"/>
  <c r="AH129" i="15"/>
  <c r="Z133" i="15"/>
  <c r="AF134" i="15"/>
  <c r="AH137" i="15"/>
  <c r="Z141" i="15"/>
  <c r="AB144" i="15"/>
  <c r="AH145" i="15"/>
  <c r="Z149" i="15"/>
  <c r="AB152" i="15"/>
  <c r="AH153" i="15"/>
  <c r="Z157" i="15"/>
  <c r="AB160" i="15"/>
  <c r="AD163" i="15"/>
  <c r="Z165" i="15"/>
  <c r="AB168" i="15"/>
  <c r="AD171" i="15"/>
  <c r="Z175" i="15"/>
  <c r="AA177" i="15"/>
  <c r="AC180" i="15"/>
  <c r="AF184" i="15"/>
  <c r="AG186" i="15"/>
  <c r="AH187" i="15"/>
  <c r="AA49" i="15"/>
  <c r="Y62" i="15"/>
  <c r="AG74" i="15"/>
  <c r="AE87" i="15"/>
  <c r="AC98" i="15"/>
  <c r="AG104" i="15"/>
  <c r="AA111" i="15"/>
  <c r="AE117" i="15"/>
  <c r="Y124" i="15"/>
  <c r="AC130" i="15"/>
  <c r="AG136" i="15"/>
  <c r="AA143" i="15"/>
  <c r="AE149" i="15"/>
  <c r="Y156" i="15"/>
  <c r="AC162" i="15"/>
  <c r="AG168" i="15"/>
  <c r="AC174" i="15"/>
  <c r="AF178" i="15"/>
  <c r="AA187" i="15"/>
  <c r="AC190" i="15"/>
  <c r="AA193" i="15"/>
  <c r="AD197" i="15"/>
  <c r="AE35" i="15"/>
  <c r="AC52" i="15"/>
  <c r="AA65" i="15"/>
  <c r="Y78" i="15"/>
  <c r="AG90" i="15"/>
  <c r="Y100" i="15"/>
  <c r="AC106" i="15"/>
  <c r="AG112" i="15"/>
  <c r="AA119" i="15"/>
  <c r="AE125" i="15"/>
  <c r="Y132" i="15"/>
  <c r="AC138" i="15"/>
  <c r="AG144" i="15"/>
  <c r="AA151" i="15"/>
  <c r="AE157" i="15"/>
  <c r="Y164" i="15"/>
  <c r="AC170" i="15"/>
  <c r="AD175" i="15"/>
  <c r="Y184" i="15"/>
  <c r="AB188" i="15"/>
  <c r="AD191" i="15"/>
  <c r="AE193" i="15"/>
  <c r="AH197" i="15"/>
  <c r="Y10" i="15"/>
  <c r="AA41" i="15"/>
  <c r="AE55" i="15"/>
  <c r="AC68" i="15"/>
  <c r="AA81" i="15"/>
  <c r="Y94" i="15"/>
  <c r="AE101" i="15"/>
  <c r="Y108" i="15"/>
  <c r="AC114" i="15"/>
  <c r="AG120" i="15"/>
  <c r="AA127" i="15"/>
  <c r="AE133" i="15"/>
  <c r="Y140" i="15"/>
  <c r="AC146" i="15"/>
  <c r="AG152" i="15"/>
  <c r="AA159" i="15"/>
  <c r="AE165" i="15"/>
  <c r="Y172" i="15"/>
  <c r="AG180" i="15"/>
  <c r="Z185" i="15"/>
  <c r="AB194" i="15"/>
  <c r="AC196" i="15"/>
  <c r="AG58" i="15"/>
  <c r="AA103" i="15"/>
  <c r="AG128" i="15"/>
  <c r="AC154" i="15"/>
  <c r="AE177" i="15"/>
  <c r="AE71" i="15"/>
  <c r="AE109" i="15"/>
  <c r="AA135" i="15"/>
  <c r="AG160" i="15"/>
  <c r="AH181" i="15"/>
  <c r="AF194" i="15"/>
  <c r="AC84" i="15"/>
  <c r="Y116" i="15"/>
  <c r="AE141" i="15"/>
  <c r="AA167" i="15"/>
  <c r="AG196" i="15"/>
  <c r="AD45" i="15"/>
  <c r="AG96" i="15"/>
  <c r="AC122" i="15"/>
  <c r="Y148" i="15"/>
  <c r="Y190" i="15"/>
  <c r="AC251" i="15"/>
  <c r="Y247" i="15"/>
  <c r="AA242" i="15"/>
  <c r="AG237" i="15"/>
  <c r="AC233" i="15"/>
  <c r="AE228" i="15"/>
  <c r="AG223" i="15"/>
  <c r="Y219" i="15"/>
  <c r="AE214" i="15"/>
  <c r="AA210" i="15"/>
  <c r="AG205" i="15"/>
  <c r="AC201" i="15"/>
  <c r="AH254" i="15"/>
  <c r="Z252" i="15"/>
  <c r="AH248" i="15"/>
  <c r="AF245" i="15"/>
  <c r="AD242" i="15"/>
  <c r="AB239" i="15"/>
  <c r="AD236" i="15"/>
  <c r="AB233" i="15"/>
  <c r="AD230" i="15"/>
  <c r="AF227" i="15"/>
  <c r="AH224" i="15"/>
  <c r="AF221" i="15"/>
  <c r="AH218" i="15"/>
  <c r="AF215" i="15"/>
  <c r="AH212" i="15"/>
  <c r="AF209" i="15"/>
  <c r="AD206" i="15"/>
  <c r="AF203" i="15"/>
  <c r="AH200" i="15"/>
  <c r="AF197" i="15"/>
  <c r="AH194" i="15"/>
  <c r="Z192" i="15"/>
  <c r="AH188" i="15"/>
  <c r="Z186" i="15"/>
  <c r="AH182" i="15"/>
  <c r="Z180" i="15"/>
  <c r="AH176" i="15"/>
  <c r="AF173" i="15"/>
  <c r="AH170" i="15"/>
  <c r="Z168" i="15"/>
  <c r="AB165" i="15"/>
  <c r="AB161" i="15"/>
  <c r="Z158" i="15"/>
  <c r="AH154" i="15"/>
  <c r="Z152" i="15"/>
  <c r="AB149" i="15"/>
  <c r="AC253" i="15"/>
  <c r="AA248" i="15"/>
  <c r="AE242" i="15"/>
  <c r="AC237" i="15"/>
  <c r="AG231" i="15"/>
  <c r="Y227" i="15"/>
  <c r="Y221" i="15"/>
  <c r="AA216" i="15"/>
  <c r="AE210" i="15"/>
  <c r="Y205" i="15"/>
  <c r="AD252" i="15"/>
  <c r="AB249" i="15"/>
  <c r="Z246" i="15"/>
  <c r="AH242" i="15"/>
  <c r="AF239" i="15"/>
  <c r="Z236" i="15"/>
  <c r="AH232" i="15"/>
  <c r="AB229" i="15"/>
  <c r="AB225" i="15"/>
  <c r="Z222" i="15"/>
  <c r="AD218" i="15"/>
  <c r="AB215" i="15"/>
  <c r="Z212" i="15"/>
  <c r="AD208" i="15"/>
  <c r="AB205" i="15"/>
  <c r="AB201" i="15"/>
  <c r="Z198" i="15"/>
  <c r="Z194" i="15"/>
  <c r="AH190" i="15"/>
  <c r="AF187" i="15"/>
  <c r="Z184" i="15"/>
  <c r="AD180" i="15"/>
  <c r="AB177" i="15"/>
  <c r="Z174" i="15"/>
  <c r="Z170" i="15"/>
  <c r="AD166" i="15"/>
  <c r="AF163" i="15"/>
  <c r="AH160" i="15"/>
  <c r="AF157" i="15"/>
  <c r="AD154" i="15"/>
  <c r="AH150" i="15"/>
  <c r="AH5" i="15"/>
  <c r="AG251" i="15"/>
  <c r="AC247" i="15"/>
  <c r="Y243" i="15"/>
  <c r="AA238" i="15"/>
  <c r="Y233" i="15"/>
  <c r="Y229" i="15"/>
  <c r="AE224" i="15"/>
  <c r="AE220" i="15"/>
  <c r="AG215" i="15"/>
  <c r="Y211" i="15"/>
  <c r="AA206" i="15"/>
  <c r="AG201" i="15"/>
  <c r="Y199" i="15"/>
  <c r="AC197" i="15"/>
  <c r="AG195" i="15"/>
  <c r="AA194" i="15"/>
  <c r="AE192" i="15"/>
  <c r="Y191" i="15"/>
  <c r="AC189" i="15"/>
  <c r="AG187" i="15"/>
  <c r="AA186" i="15"/>
  <c r="AE184" i="15"/>
  <c r="Y183" i="15"/>
  <c r="AC181" i="15"/>
  <c r="AG179" i="15"/>
  <c r="AA178" i="15"/>
  <c r="AE176" i="15"/>
  <c r="Y175" i="15"/>
  <c r="AC173" i="15"/>
  <c r="AG171" i="15"/>
  <c r="AA170" i="15"/>
  <c r="AE168" i="15"/>
  <c r="Y167" i="15"/>
  <c r="AC165" i="15"/>
  <c r="AG163" i="15"/>
  <c r="AA162" i="15"/>
  <c r="AE160" i="15"/>
  <c r="Y159" i="15"/>
  <c r="AC157" i="15"/>
  <c r="AG155" i="15"/>
  <c r="AA154" i="15"/>
  <c r="AE152" i="15"/>
  <c r="Y151" i="15"/>
  <c r="AC149" i="15"/>
  <c r="AG147" i="15"/>
  <c r="AA146" i="15"/>
  <c r="AE144" i="15"/>
  <c r="Y143" i="15"/>
  <c r="AC141" i="15"/>
  <c r="AG139" i="15"/>
  <c r="AA138" i="15"/>
  <c r="AE136" i="15"/>
  <c r="Y135" i="15"/>
  <c r="AC133" i="15"/>
  <c r="AG131" i="15"/>
  <c r="AA130" i="15"/>
  <c r="AE128" i="15"/>
  <c r="Y127" i="15"/>
  <c r="Z146" i="15"/>
  <c r="AB143" i="15"/>
  <c r="Z140" i="15"/>
  <c r="AH136" i="15"/>
  <c r="Z134" i="15"/>
  <c r="AB131" i="15"/>
  <c r="Z128" i="15"/>
  <c r="AB125" i="15"/>
  <c r="Z122" i="15"/>
  <c r="AH118" i="15"/>
  <c r="AF115" i="15"/>
  <c r="AD112" i="15"/>
  <c r="AB109" i="15"/>
  <c r="Z106" i="15"/>
  <c r="AB103" i="15"/>
  <c r="AD100" i="15"/>
  <c r="AB97" i="15"/>
  <c r="Z94" i="15"/>
  <c r="AH90" i="15"/>
  <c r="AF87" i="15"/>
  <c r="AH84" i="15"/>
  <c r="Y198" i="15"/>
  <c r="AE191" i="15"/>
  <c r="AA185" i="15"/>
  <c r="AG178" i="15"/>
  <c r="AA171" i="15"/>
  <c r="AG164" i="15"/>
  <c r="AC158" i="15"/>
  <c r="Y152" i="15"/>
  <c r="AE145" i="15"/>
  <c r="AA139" i="15"/>
  <c r="AG132" i="15"/>
  <c r="AC126" i="15"/>
  <c r="Y120" i="15"/>
  <c r="AE126" i="15"/>
  <c r="Y125" i="15"/>
  <c r="AC123" i="15"/>
  <c r="AG121" i="15"/>
  <c r="AA120" i="15"/>
  <c r="AE118" i="15"/>
  <c r="Y117" i="15"/>
  <c r="AC115" i="15"/>
  <c r="AG113" i="15"/>
  <c r="AA112" i="15"/>
  <c r="AE110" i="15"/>
  <c r="Y109" i="15"/>
  <c r="AC107" i="15"/>
  <c r="AG105" i="15"/>
  <c r="AA104" i="15"/>
  <c r="AE102" i="15"/>
  <c r="Y101" i="15"/>
  <c r="AC99" i="15"/>
  <c r="AG97" i="15"/>
  <c r="AA96" i="15"/>
  <c r="AE94" i="15"/>
  <c r="Y93" i="15"/>
  <c r="AC91" i="15"/>
  <c r="AG89" i="15"/>
  <c r="AA88" i="15"/>
  <c r="AE86" i="15"/>
  <c r="Y85" i="15"/>
  <c r="AC83" i="15"/>
  <c r="AG81" i="15"/>
  <c r="AA80" i="15"/>
  <c r="AE78" i="15"/>
  <c r="Y77" i="15"/>
  <c r="AC75" i="15"/>
  <c r="AG73" i="15"/>
  <c r="AA72" i="15"/>
  <c r="AE70" i="15"/>
  <c r="Y69" i="15"/>
  <c r="AC67" i="15"/>
  <c r="AG65" i="15"/>
  <c r="AA64" i="15"/>
  <c r="AE62" i="15"/>
  <c r="Y61" i="15"/>
  <c r="AC59" i="15"/>
  <c r="AG57" i="15"/>
  <c r="AA56" i="15"/>
  <c r="AE54" i="15"/>
  <c r="Y53" i="15"/>
  <c r="AC51" i="15"/>
  <c r="AG49" i="15"/>
  <c r="AA48" i="15"/>
  <c r="AE46" i="15"/>
  <c r="Y45" i="15"/>
  <c r="AC43" i="15"/>
  <c r="AG41" i="15"/>
  <c r="AA40" i="15"/>
  <c r="AE38" i="15"/>
  <c r="Y37" i="15"/>
  <c r="AC35" i="15"/>
  <c r="AG33" i="15"/>
  <c r="AA32" i="15"/>
  <c r="AE30" i="15"/>
  <c r="Y29" i="15"/>
  <c r="Y27" i="15"/>
  <c r="AF145" i="15"/>
  <c r="Z142" i="15"/>
  <c r="AH138" i="15"/>
  <c r="AB135" i="15"/>
  <c r="AF131" i="15"/>
  <c r="AD128" i="15"/>
  <c r="AH124" i="15"/>
  <c r="AF121" i="15"/>
  <c r="AD118" i="15"/>
  <c r="AB115" i="15"/>
  <c r="Z112" i="15"/>
  <c r="AH108" i="15"/>
  <c r="AB105" i="15"/>
  <c r="Z102" i="15"/>
  <c r="AD98" i="15"/>
  <c r="AB95" i="15"/>
  <c r="Z92" i="15"/>
  <c r="AH88" i="15"/>
  <c r="AB85" i="15"/>
  <c r="AH82" i="15"/>
  <c r="AB81" i="15"/>
  <c r="AF79" i="15"/>
  <c r="Z78" i="15"/>
  <c r="AD76" i="15"/>
  <c r="AH74" i="15"/>
  <c r="AH72" i="15"/>
  <c r="AB71" i="15"/>
  <c r="AF69" i="15"/>
  <c r="Z68" i="15"/>
  <c r="AD66" i="15"/>
  <c r="AH64" i="15"/>
  <c r="AB63" i="15"/>
  <c r="AF61" i="15"/>
  <c r="Z60" i="15"/>
  <c r="AD58" i="15"/>
  <c r="AH56" i="15"/>
  <c r="AB55" i="15"/>
  <c r="AF53" i="15"/>
  <c r="Z52" i="15"/>
  <c r="AD50" i="15"/>
  <c r="AH48" i="15"/>
  <c r="AB47" i="15"/>
  <c r="AF45" i="15"/>
  <c r="Z44" i="15"/>
  <c r="AD42" i="15"/>
  <c r="AH40" i="15"/>
  <c r="AB39" i="15"/>
  <c r="AF37" i="15"/>
  <c r="Z36" i="15"/>
  <c r="AD34" i="15"/>
  <c r="AH32" i="15"/>
  <c r="AB31" i="15"/>
  <c r="AF29" i="15"/>
  <c r="Z28" i="15"/>
  <c r="AD26" i="15"/>
  <c r="AH24" i="15"/>
  <c r="AB23" i="15"/>
  <c r="AF21" i="15"/>
  <c r="Z20" i="15"/>
  <c r="Z18" i="15"/>
  <c r="AD16" i="15"/>
  <c r="AH14" i="15"/>
  <c r="AB13" i="15"/>
  <c r="AF11" i="15"/>
  <c r="Z10" i="15"/>
  <c r="AD8" i="15"/>
  <c r="AH6" i="15"/>
  <c r="AA107" i="15"/>
  <c r="AE97" i="15"/>
  <c r="Y86" i="15"/>
  <c r="AA73" i="15"/>
  <c r="AC60" i="15"/>
  <c r="AE47" i="15"/>
  <c r="AE113" i="15"/>
  <c r="AG100" i="15"/>
  <c r="AF192" i="15"/>
  <c r="AB186" i="15"/>
  <c r="AH179" i="15"/>
  <c r="AD173" i="15"/>
  <c r="AD167" i="15"/>
  <c r="Z161" i="15"/>
  <c r="AF154" i="15"/>
  <c r="AB148" i="15"/>
  <c r="AH141" i="15"/>
  <c r="AD135" i="15"/>
  <c r="Z129" i="15"/>
  <c r="AF122" i="15"/>
  <c r="AB116" i="15"/>
  <c r="AH109" i="15"/>
  <c r="AD103" i="15"/>
  <c r="Z97" i="15"/>
  <c r="Z85" i="15"/>
  <c r="AB72" i="15"/>
  <c r="AD59" i="15"/>
  <c r="Z39" i="15"/>
  <c r="AG25" i="15"/>
  <c r="AA24" i="15"/>
  <c r="AD5" i="15"/>
  <c r="AA250" i="15"/>
  <c r="AG245" i="15"/>
  <c r="Y241" i="15"/>
  <c r="AE236" i="15"/>
  <c r="AA232" i="15"/>
  <c r="AC227" i="15"/>
  <c r="Y223" i="15"/>
  <c r="AA218" i="15"/>
  <c r="AC213" i="15"/>
  <c r="Y209" i="15"/>
  <c r="AE204" i="15"/>
  <c r="AG199" i="15"/>
  <c r="Z254" i="15"/>
  <c r="AB251" i="15"/>
  <c r="Z248" i="15"/>
  <c r="AH244" i="15"/>
  <c r="AF241" i="15"/>
  <c r="AD238" i="15"/>
  <c r="AF235" i="15"/>
  <c r="AD232" i="15"/>
  <c r="AF229" i="15"/>
  <c r="AH226" i="15"/>
  <c r="Z224" i="15"/>
  <c r="AH220" i="15"/>
  <c r="Z218" i="15"/>
  <c r="AH214" i="15"/>
  <c r="AF211" i="15"/>
  <c r="AH208" i="15"/>
  <c r="AF205" i="15"/>
  <c r="AH202" i="15"/>
  <c r="Z200" i="15"/>
  <c r="AH196" i="15"/>
  <c r="AD194" i="15"/>
  <c r="AB191" i="15"/>
  <c r="Z188" i="15"/>
  <c r="AB185" i="15"/>
  <c r="AD182" i="15"/>
  <c r="AB179" i="15"/>
  <c r="Z176" i="15"/>
  <c r="AH172" i="15"/>
  <c r="AD170" i="15"/>
  <c r="AF167" i="15"/>
  <c r="Z164" i="15"/>
  <c r="AD160" i="15"/>
  <c r="AB157" i="15"/>
  <c r="Z154" i="15"/>
  <c r="AB151" i="15"/>
  <c r="AD18" i="15"/>
  <c r="AA252" i="15"/>
  <c r="AE246" i="15"/>
  <c r="AC241" i="15"/>
  <c r="AA236" i="15"/>
  <c r="AE230" i="15"/>
  <c r="AC225" i="15"/>
  <c r="AG219" i="15"/>
  <c r="AA214" i="15"/>
  <c r="AC209" i="15"/>
  <c r="AC203" i="15"/>
  <c r="AC5" i="15"/>
  <c r="AF251" i="15"/>
  <c r="AD248" i="15"/>
  <c r="AB245" i="15"/>
  <c r="Z242" i="15"/>
  <c r="AH238" i="15"/>
  <c r="AB235" i="15"/>
  <c r="Z232" i="15"/>
  <c r="Z228" i="15"/>
  <c r="AD224" i="15"/>
  <c r="AB221" i="15"/>
  <c r="AF217" i="15"/>
  <c r="AD214" i="15"/>
  <c r="AB211" i="15"/>
  <c r="AF207" i="15"/>
  <c r="Z204" i="15"/>
  <c r="AD200" i="15"/>
  <c r="AB197" i="15"/>
  <c r="AB193" i="15"/>
  <c r="Z190" i="15"/>
  <c r="AD186" i="15"/>
  <c r="AB183" i="15"/>
  <c r="AF179" i="15"/>
  <c r="AD176" i="15"/>
  <c r="AB173" i="15"/>
  <c r="AB169" i="15"/>
  <c r="AF165" i="15"/>
  <c r="AH162" i="15"/>
  <c r="Z160" i="15"/>
  <c r="AH156" i="15"/>
  <c r="AF153" i="15"/>
  <c r="AF149" i="15"/>
  <c r="AE254" i="15"/>
  <c r="AE250" i="15"/>
  <c r="AA246" i="15"/>
  <c r="AG241" i="15"/>
  <c r="Y237" i="15"/>
  <c r="AE232" i="15"/>
  <c r="AG227" i="15"/>
  <c r="AC223" i="15"/>
  <c r="AC219" i="15"/>
  <c r="Y215" i="15"/>
  <c r="AG209" i="15"/>
  <c r="AC205" i="15"/>
  <c r="Y201" i="15"/>
  <c r="AE198" i="15"/>
  <c r="Y197" i="15"/>
  <c r="AC195" i="15"/>
  <c r="AG193" i="15"/>
  <c r="AA192" i="15"/>
  <c r="AE190" i="15"/>
  <c r="Y189" i="15"/>
  <c r="AC187" i="15"/>
  <c r="AG185" i="15"/>
  <c r="AA184" i="15"/>
  <c r="AE182" i="15"/>
  <c r="Y181" i="15"/>
  <c r="AC179" i="15"/>
  <c r="AG177" i="15"/>
  <c r="AA176" i="15"/>
  <c r="AE174" i="15"/>
  <c r="Y173" i="15"/>
  <c r="AC171" i="15"/>
  <c r="AG169" i="15"/>
  <c r="AA168" i="15"/>
  <c r="AE166" i="15"/>
  <c r="Y165" i="15"/>
  <c r="AC163" i="15"/>
  <c r="AG161" i="15"/>
  <c r="AA160" i="15"/>
  <c r="AE158" i="15"/>
  <c r="Y157" i="15"/>
  <c r="AC155" i="15"/>
  <c r="AG153" i="15"/>
  <c r="AA152" i="15"/>
  <c r="AE150" i="15"/>
  <c r="Y149" i="15"/>
  <c r="AC147" i="15"/>
  <c r="AG145" i="15"/>
  <c r="AA144" i="15"/>
  <c r="AE142" i="15"/>
  <c r="Y141" i="15"/>
  <c r="AC139" i="15"/>
  <c r="AG137" i="15"/>
  <c r="AA136" i="15"/>
  <c r="AE134" i="15"/>
  <c r="Y133" i="15"/>
  <c r="AC131" i="15"/>
  <c r="AG129" i="15"/>
  <c r="AA128" i="15"/>
  <c r="AD148" i="15"/>
  <c r="AB145" i="15"/>
  <c r="AD142" i="15"/>
  <c r="AB139" i="15"/>
  <c r="Z136" i="15"/>
  <c r="AF133" i="15"/>
  <c r="AD130" i="15"/>
  <c r="AB127" i="15"/>
  <c r="AD124" i="15"/>
  <c r="AB121" i="15"/>
  <c r="Z118" i="15"/>
  <c r="AH114" i="15"/>
  <c r="AF111" i="15"/>
  <c r="AD108" i="15"/>
  <c r="AF105" i="15"/>
  <c r="AD102" i="15"/>
  <c r="AF99" i="15"/>
  <c r="AD96" i="15"/>
  <c r="AB93" i="15"/>
  <c r="Z90" i="15"/>
  <c r="AB87" i="15"/>
  <c r="AF83" i="15"/>
  <c r="AA195" i="15"/>
  <c r="AG188" i="15"/>
  <c r="AC182" i="15"/>
  <c r="Y176" i="15"/>
  <c r="AE169" i="15"/>
  <c r="AA163" i="15"/>
  <c r="AG156" i="15"/>
  <c r="AC150" i="15"/>
  <c r="Y144" i="15"/>
  <c r="AE137" i="15"/>
  <c r="AA131" i="15"/>
  <c r="AG124" i="15"/>
  <c r="AC118" i="15"/>
  <c r="AA126" i="15"/>
  <c r="AE124" i="15"/>
  <c r="Y123" i="15"/>
  <c r="AC121" i="15"/>
  <c r="AG119" i="15"/>
  <c r="AA118" i="15"/>
  <c r="AE116" i="15"/>
  <c r="Y115" i="15"/>
  <c r="AC113" i="15"/>
  <c r="AG111" i="15"/>
  <c r="AA110" i="15"/>
  <c r="AE108" i="15"/>
  <c r="Y107" i="15"/>
  <c r="AC105" i="15"/>
  <c r="AG103" i="15"/>
  <c r="AA102" i="15"/>
  <c r="AE100" i="15"/>
  <c r="Y99" i="15"/>
  <c r="AC97" i="15"/>
  <c r="AG95" i="15"/>
  <c r="AA94" i="15"/>
  <c r="AE92" i="15"/>
  <c r="Y91" i="15"/>
  <c r="AC89" i="15"/>
  <c r="AG87" i="15"/>
  <c r="AA86" i="15"/>
  <c r="AE84" i="15"/>
  <c r="Y83" i="15"/>
  <c r="AC81" i="15"/>
  <c r="AG79" i="15"/>
  <c r="AA78" i="15"/>
  <c r="AE76" i="15"/>
  <c r="Y75" i="15"/>
  <c r="AC73" i="15"/>
  <c r="AG71" i="15"/>
  <c r="AA70" i="15"/>
  <c r="AE68" i="15"/>
  <c r="Y67" i="15"/>
  <c r="AC65" i="15"/>
  <c r="AG63" i="15"/>
  <c r="AA62" i="15"/>
  <c r="AE60" i="15"/>
  <c r="Y59" i="15"/>
  <c r="AC57" i="15"/>
  <c r="AG55" i="15"/>
  <c r="AA54" i="15"/>
  <c r="AE52" i="15"/>
  <c r="Y51" i="15"/>
  <c r="AC49" i="15"/>
  <c r="AG47" i="15"/>
  <c r="AA46" i="15"/>
  <c r="AE44" i="15"/>
  <c r="Y43" i="15"/>
  <c r="AC41" i="15"/>
  <c r="AG39" i="15"/>
  <c r="AA38" i="15"/>
  <c r="AE36" i="15"/>
  <c r="Y35" i="15"/>
  <c r="AC33" i="15"/>
  <c r="AG31" i="15"/>
  <c r="AA30" i="15"/>
  <c r="AE28" i="15"/>
  <c r="Z148" i="15"/>
  <c r="AH144" i="15"/>
  <c r="AB141" i="15"/>
  <c r="Z138" i="15"/>
  <c r="AD134" i="15"/>
  <c r="AH130" i="15"/>
  <c r="AF127" i="15"/>
  <c r="Z124" i="15"/>
  <c r="AH120" i="15"/>
  <c r="AF117" i="15"/>
  <c r="AD114" i="15"/>
  <c r="AB111" i="15"/>
  <c r="Z108" i="15"/>
  <c r="AD104" i="15"/>
  <c r="AB101" i="15"/>
  <c r="AF97" i="15"/>
  <c r="AD94" i="15"/>
  <c r="AB91" i="15"/>
  <c r="Z88" i="15"/>
  <c r="AD84" i="15"/>
  <c r="AD82" i="15"/>
  <c r="AH80" i="15"/>
  <c r="AB79" i="15"/>
  <c r="AF77" i="15"/>
  <c r="Z76" i="15"/>
  <c r="AD74" i="15"/>
  <c r="AD72" i="15"/>
  <c r="AH70" i="15"/>
  <c r="AB69" i="15"/>
  <c r="AF67" i="15"/>
  <c r="Z66" i="15"/>
  <c r="AD64" i="15"/>
  <c r="AH62" i="15"/>
  <c r="AB61" i="15"/>
  <c r="AF59" i="15"/>
  <c r="Z58" i="15"/>
  <c r="AD56" i="15"/>
  <c r="AH54" i="15"/>
  <c r="AB53" i="15"/>
  <c r="AF51" i="15"/>
  <c r="Z50" i="15"/>
  <c r="AD48" i="15"/>
  <c r="AH46" i="15"/>
  <c r="AB45" i="15"/>
  <c r="AF43" i="15"/>
  <c r="Z42" i="15"/>
  <c r="AD40" i="15"/>
  <c r="AH38" i="15"/>
  <c r="AB37" i="15"/>
  <c r="AF35" i="15"/>
  <c r="Z34" i="15"/>
  <c r="AD32" i="15"/>
  <c r="AH30" i="15"/>
  <c r="AB29" i="15"/>
  <c r="AF27" i="15"/>
  <c r="Z26" i="15"/>
  <c r="AD24" i="15"/>
  <c r="AH22" i="15"/>
  <c r="AB21" i="15"/>
  <c r="AF19" i="15"/>
  <c r="AF17" i="15"/>
  <c r="Z16" i="15"/>
  <c r="AD14" i="15"/>
  <c r="AH12" i="15"/>
  <c r="AB11" i="15"/>
  <c r="AF9" i="15"/>
  <c r="Z8" i="15"/>
  <c r="AD6" i="15"/>
  <c r="Y104" i="15"/>
  <c r="AE95" i="15"/>
  <c r="AG82" i="15"/>
  <c r="Y70" i="15"/>
  <c r="AA57" i="15"/>
  <c r="AC46" i="15"/>
  <c r="AC110" i="15"/>
  <c r="AB196" i="15"/>
  <c r="AH189" i="15"/>
  <c r="AD183" i="15"/>
  <c r="Z177" i="15"/>
  <c r="AB172" i="15"/>
  <c r="AH165" i="15"/>
  <c r="AD159" i="15"/>
  <c r="Z153" i="15"/>
  <c r="AF146" i="15"/>
  <c r="AB140" i="15"/>
  <c r="AH133" i="15"/>
  <c r="AD127" i="15"/>
  <c r="Z121" i="15"/>
  <c r="AG253" i="15"/>
  <c r="Y249" i="15"/>
  <c r="AE244" i="15"/>
  <c r="AG239" i="15"/>
  <c r="AC235" i="15"/>
  <c r="Y231" i="15"/>
  <c r="AA226" i="15"/>
  <c r="AG221" i="15"/>
  <c r="AE216" i="15"/>
  <c r="AE212" i="15"/>
  <c r="AA208" i="15"/>
  <c r="AG203" i="15"/>
  <c r="AB253" i="15"/>
  <c r="AD250" i="15"/>
  <c r="AB247" i="15"/>
  <c r="Z244" i="15"/>
  <c r="AH240" i="15"/>
  <c r="AF237" i="15"/>
  <c r="AH234" i="15"/>
  <c r="AF231" i="15"/>
  <c r="AH228" i="15"/>
  <c r="Z226" i="15"/>
  <c r="AF223" i="15"/>
  <c r="AD220" i="15"/>
  <c r="AB217" i="15"/>
  <c r="Z214" i="15"/>
  <c r="AH210" i="15"/>
  <c r="Z208" i="15"/>
  <c r="AH204" i="15"/>
  <c r="Z202" i="15"/>
  <c r="AB199" i="15"/>
  <c r="AD196" i="15"/>
  <c r="AF193" i="15"/>
  <c r="AD190" i="15"/>
  <c r="AB187" i="15"/>
  <c r="AD184" i="15"/>
  <c r="AF181" i="15"/>
  <c r="AD178" i="15"/>
  <c r="AB175" i="15"/>
  <c r="AD172" i="15"/>
  <c r="AF169" i="15"/>
  <c r="AH166" i="15"/>
  <c r="AB163" i="15"/>
  <c r="AF159" i="15"/>
  <c r="AD156" i="15"/>
  <c r="AB153" i="15"/>
  <c r="AD150" i="15"/>
  <c r="Y251" i="15"/>
  <c r="AC245" i="15"/>
  <c r="AE240" i="15"/>
  <c r="Y235" i="15"/>
  <c r="AC229" i="15"/>
  <c r="AA224" i="15"/>
  <c r="AE218" i="15"/>
  <c r="Y213" i="15"/>
  <c r="AG207" i="15"/>
  <c r="AA202" i="15"/>
  <c r="AD254" i="15"/>
  <c r="AH250" i="15"/>
  <c r="AF247" i="15"/>
  <c r="AD244" i="15"/>
  <c r="AB241" i="15"/>
  <c r="Z238" i="15"/>
  <c r="AD234" i="15"/>
  <c r="AH230" i="15"/>
  <c r="AB227" i="15"/>
  <c r="AB223" i="15"/>
  <c r="Z220" i="15"/>
  <c r="AH216" i="15"/>
  <c r="AF213" i="15"/>
  <c r="Z210" i="15"/>
  <c r="AH206" i="15"/>
  <c r="AB203" i="15"/>
  <c r="AF199" i="15"/>
  <c r="Z196" i="15"/>
  <c r="AD192" i="15"/>
  <c r="AB189" i="15"/>
  <c r="AF185" i="15"/>
  <c r="Z182" i="15"/>
  <c r="AH178" i="15"/>
  <c r="AF175" i="15"/>
  <c r="Z172" i="15"/>
  <c r="AD168" i="15"/>
  <c r="AH164" i="15"/>
  <c r="Z162" i="15"/>
  <c r="AB159" i="15"/>
  <c r="Z156" i="15"/>
  <c r="AH152" i="15"/>
  <c r="AH148" i="15"/>
  <c r="AA254" i="15"/>
  <c r="AC249" i="15"/>
  <c r="Y245" i="15"/>
  <c r="AA240" i="15"/>
  <c r="AG235" i="15"/>
  <c r="AC231" i="15"/>
  <c r="AE226" i="15"/>
  <c r="AE222" i="15"/>
  <c r="AG217" i="15"/>
  <c r="AG213" i="15"/>
  <c r="AE208" i="15"/>
  <c r="AA204" i="15"/>
  <c r="AE200" i="15"/>
  <c r="AA198" i="15"/>
  <c r="AE196" i="15"/>
  <c r="Y195" i="15"/>
  <c r="AC193" i="15"/>
  <c r="AG191" i="15"/>
  <c r="AA190" i="15"/>
  <c r="AE188" i="15"/>
  <c r="Y187" i="15"/>
  <c r="AC185" i="15"/>
  <c r="AG183" i="15"/>
  <c r="AA182" i="15"/>
  <c r="AE180" i="15"/>
  <c r="Y179" i="15"/>
  <c r="AC177" i="15"/>
  <c r="AG175" i="15"/>
  <c r="AA174" i="15"/>
  <c r="AE172" i="15"/>
  <c r="Y171" i="15"/>
  <c r="AC169" i="15"/>
  <c r="AG167" i="15"/>
  <c r="AA166" i="15"/>
  <c r="AE164" i="15"/>
  <c r="Y163" i="15"/>
  <c r="AC161" i="15"/>
  <c r="AG159" i="15"/>
  <c r="AA158" i="15"/>
  <c r="AE156" i="15"/>
  <c r="Y155" i="15"/>
  <c r="AC153" i="15"/>
  <c r="AG151" i="15"/>
  <c r="AA150" i="15"/>
  <c r="AE148" i="15"/>
  <c r="Y147" i="15"/>
  <c r="AC145" i="15"/>
  <c r="AG143" i="15"/>
  <c r="AA142" i="15"/>
  <c r="AE140" i="15"/>
  <c r="Y139" i="15"/>
  <c r="AC137" i="15"/>
  <c r="AG135" i="15"/>
  <c r="AA134" i="15"/>
  <c r="AE132" i="15"/>
  <c r="Y131" i="15"/>
  <c r="AC129" i="15"/>
  <c r="AG127" i="15"/>
  <c r="AF147" i="15"/>
  <c r="AD144" i="15"/>
  <c r="AF141" i="15"/>
  <c r="AD138" i="15"/>
  <c r="AF135" i="15"/>
  <c r="AH132" i="15"/>
  <c r="AF129" i="15"/>
  <c r="AD126" i="15"/>
  <c r="AF123" i="15"/>
  <c r="AD120" i="15"/>
  <c r="AB117" i="15"/>
  <c r="Z114" i="15"/>
  <c r="AH110" i="15"/>
  <c r="AF107" i="15"/>
  <c r="AH104" i="15"/>
  <c r="AF101" i="15"/>
  <c r="AH98" i="15"/>
  <c r="AF95" i="15"/>
  <c r="AD92" i="15"/>
  <c r="AB89" i="15"/>
  <c r="AD86" i="15"/>
  <c r="Z74" i="15"/>
  <c r="AG194" i="15"/>
  <c r="AC188" i="15"/>
  <c r="Y182" i="15"/>
  <c r="AE175" i="15"/>
  <c r="Y168" i="15"/>
  <c r="AE161" i="15"/>
  <c r="AA155" i="15"/>
  <c r="AG148" i="15"/>
  <c r="AC142" i="15"/>
  <c r="Y136" i="15"/>
  <c r="AE129" i="15"/>
  <c r="AA123" i="15"/>
  <c r="AG116" i="15"/>
  <c r="AG125" i="15"/>
  <c r="AA124" i="15"/>
  <c r="AE122" i="15"/>
  <c r="Y121" i="15"/>
  <c r="AC119" i="15"/>
  <c r="AG117" i="15"/>
  <c r="AA116" i="15"/>
  <c r="AE114" i="15"/>
  <c r="Y113" i="15"/>
  <c r="AC111" i="15"/>
  <c r="AG109" i="15"/>
  <c r="AA108" i="15"/>
  <c r="AE106" i="15"/>
  <c r="Y105" i="15"/>
  <c r="AC103" i="15"/>
  <c r="AG101" i="15"/>
  <c r="AA100" i="15"/>
  <c r="AE98" i="15"/>
  <c r="Y97" i="15"/>
  <c r="AC95" i="15"/>
  <c r="AG93" i="15"/>
  <c r="AA92" i="15"/>
  <c r="AE90" i="15"/>
  <c r="Y89" i="15"/>
  <c r="AC87" i="15"/>
  <c r="AG85" i="15"/>
  <c r="AA84" i="15"/>
  <c r="AE82" i="15"/>
  <c r="Y81" i="15"/>
  <c r="AC79" i="15"/>
  <c r="AG77" i="15"/>
  <c r="AA76" i="15"/>
  <c r="AE74" i="15"/>
  <c r="Y73" i="15"/>
  <c r="AC71" i="15"/>
  <c r="AG69" i="15"/>
  <c r="AA68" i="15"/>
  <c r="AE66" i="15"/>
  <c r="Y65" i="15"/>
  <c r="AC63" i="15"/>
  <c r="AG61" i="15"/>
  <c r="AA60" i="15"/>
  <c r="AE58" i="15"/>
  <c r="Y57" i="15"/>
  <c r="AC55" i="15"/>
  <c r="AG53" i="15"/>
  <c r="AA52" i="15"/>
  <c r="AE50" i="15"/>
  <c r="Y49" i="15"/>
  <c r="AC47" i="15"/>
  <c r="AG45" i="15"/>
  <c r="AA44" i="15"/>
  <c r="AE42" i="15"/>
  <c r="Y41" i="15"/>
  <c r="AC39" i="15"/>
  <c r="AG37" i="15"/>
  <c r="AA36" i="15"/>
  <c r="AE34" i="15"/>
  <c r="Y33" i="15"/>
  <c r="AC31" i="15"/>
  <c r="AG29" i="15"/>
  <c r="AA28" i="15"/>
  <c r="AB147" i="15"/>
  <c r="Z144" i="15"/>
  <c r="AD140" i="15"/>
  <c r="AB137" i="15"/>
  <c r="AB133" i="15"/>
  <c r="Z130" i="15"/>
  <c r="AH126" i="15"/>
  <c r="AB123" i="15"/>
  <c r="Z120" i="15"/>
  <c r="AH116" i="15"/>
  <c r="AF113" i="15"/>
  <c r="AD110" i="15"/>
  <c r="AB107" i="15"/>
  <c r="AF103" i="15"/>
  <c r="Z100" i="15"/>
  <c r="AH96" i="15"/>
  <c r="AF93" i="15"/>
  <c r="AD90" i="15"/>
  <c r="AH86" i="15"/>
  <c r="Z84" i="15"/>
  <c r="Z82" i="15"/>
  <c r="AD80" i="15"/>
  <c r="AH78" i="15"/>
  <c r="AB77" i="15"/>
  <c r="AF75" i="15"/>
  <c r="AF73" i="15"/>
  <c r="Z72" i="15"/>
  <c r="AD70" i="15"/>
  <c r="AH68" i="15"/>
  <c r="AB67" i="15"/>
  <c r="AF65" i="15"/>
  <c r="Z64" i="15"/>
  <c r="AD62" i="15"/>
  <c r="AH60" i="15"/>
  <c r="AB59" i="15"/>
  <c r="AF57" i="15"/>
  <c r="Z56" i="15"/>
  <c r="AD54" i="15"/>
  <c r="AH52" i="15"/>
  <c r="AB51" i="15"/>
  <c r="AF49" i="15"/>
  <c r="Z48" i="15"/>
  <c r="AD46" i="15"/>
  <c r="AH44" i="15"/>
  <c r="AB43" i="15"/>
  <c r="AF41" i="15"/>
  <c r="Z40" i="15"/>
  <c r="AD38" i="15"/>
  <c r="AH36" i="15"/>
  <c r="AB35" i="15"/>
  <c r="AF33" i="15"/>
  <c r="Z32" i="15"/>
  <c r="AD30" i="15"/>
  <c r="AH28" i="15"/>
  <c r="AB27" i="15"/>
  <c r="AF25" i="15"/>
  <c r="Z24" i="15"/>
  <c r="AD22" i="15"/>
  <c r="AH20" i="15"/>
  <c r="AB19" i="15"/>
  <c r="AB17" i="15"/>
  <c r="AF15" i="15"/>
  <c r="Z14" i="15"/>
  <c r="AD12" i="15"/>
  <c r="AH10" i="15"/>
  <c r="AB9" i="15"/>
  <c r="AF7" i="15"/>
  <c r="Z6" i="15"/>
  <c r="AC102" i="15"/>
  <c r="AC92" i="15"/>
  <c r="AE79" i="15"/>
  <c r="AG66" i="15"/>
  <c r="Y54" i="15"/>
  <c r="AG28" i="15"/>
  <c r="AG108" i="15"/>
  <c r="AH195" i="15"/>
  <c r="AD189" i="15"/>
  <c r="Z183" i="15"/>
  <c r="AF176" i="15"/>
  <c r="AF170" i="15"/>
  <c r="AB164" i="15"/>
  <c r="AH157" i="15"/>
  <c r="AD151" i="15"/>
  <c r="Z145" i="15"/>
  <c r="AF138" i="15"/>
  <c r="AB132" i="15"/>
  <c r="AH125" i="15"/>
  <c r="AD119" i="15"/>
  <c r="Z113" i="15"/>
  <c r="AF106" i="15"/>
  <c r="AB100" i="15"/>
  <c r="AD91" i="15"/>
  <c r="AF78" i="15"/>
  <c r="AH65" i="15"/>
  <c r="Z53" i="15"/>
  <c r="AE26" i="15"/>
  <c r="Y25" i="15"/>
  <c r="AE9" i="15"/>
  <c r="AA13" i="15"/>
  <c r="Y20" i="15"/>
  <c r="AA25" i="15"/>
  <c r="AC30" i="15"/>
  <c r="AE33" i="15"/>
  <c r="AG38" i="15"/>
  <c r="AC44" i="15"/>
  <c r="AC48" i="15"/>
  <c r="AG54" i="15"/>
  <c r="AA61" i="15"/>
  <c r="AE67" i="15"/>
  <c r="Y72" i="15"/>
  <c r="AC78" i="15"/>
  <c r="AG84" i="15"/>
  <c r="AG88" i="15"/>
  <c r="AA95" i="15"/>
  <c r="AA101" i="15"/>
  <c r="AG110" i="15"/>
  <c r="AC120" i="15"/>
  <c r="Y130" i="15"/>
  <c r="AC136" i="15"/>
  <c r="Y146" i="15"/>
  <c r="AE155" i="15"/>
  <c r="Y162" i="15"/>
  <c r="AE171" i="15"/>
  <c r="Y178" i="15"/>
  <c r="AE187" i="15"/>
  <c r="AA197" i="15"/>
  <c r="AG202" i="15"/>
  <c r="AC212" i="15"/>
  <c r="AG9" i="15"/>
  <c r="AC11" i="15"/>
  <c r="Y13" i="15"/>
  <c r="AE14" i="15"/>
  <c r="AA16" i="15"/>
  <c r="AG17" i="15"/>
  <c r="AC19" i="15"/>
  <c r="Y21" i="15"/>
  <c r="AE22" i="15"/>
  <c r="AE24" i="15"/>
  <c r="AH49" i="15"/>
  <c r="AD75" i="15"/>
  <c r="AF98" i="15"/>
  <c r="AD111" i="15"/>
  <c r="AF130" i="15"/>
  <c r="AB156" i="15"/>
  <c r="AB180" i="15"/>
  <c r="AG22" i="15"/>
  <c r="AA89" i="15"/>
  <c r="AH8" i="15"/>
  <c r="AB15" i="15"/>
  <c r="Z22" i="15"/>
  <c r="AD28" i="15"/>
  <c r="AH34" i="15"/>
  <c r="AB41" i="15"/>
  <c r="AF47" i="15"/>
  <c r="Z54" i="15"/>
  <c r="AD60" i="15"/>
  <c r="AH66" i="15"/>
  <c r="AB73" i="15"/>
  <c r="Z80" i="15"/>
  <c r="AF89" i="15"/>
  <c r="AH102" i="15"/>
  <c r="AB129" i="15"/>
  <c r="Y31" i="15"/>
  <c r="AC37" i="15"/>
  <c r="AG43" i="15"/>
  <c r="AA50" i="15"/>
  <c r="AE56" i="15"/>
  <c r="Y63" i="15"/>
  <c r="AC69" i="15"/>
  <c r="AG75" i="15"/>
  <c r="AA82" i="15"/>
  <c r="AE88" i="15"/>
  <c r="Y95" i="15"/>
  <c r="AC101" i="15"/>
  <c r="AG107" i="15"/>
  <c r="AA114" i="15"/>
  <c r="AE120" i="15"/>
  <c r="AA115" i="15"/>
  <c r="AG140" i="15"/>
  <c r="AC166" i="15"/>
  <c r="Y192" i="15"/>
  <c r="AF91" i="15"/>
  <c r="Z104" i="15"/>
  <c r="AD116" i="15"/>
  <c r="AH128" i="15"/>
  <c r="AH140" i="15"/>
  <c r="Y129" i="15"/>
  <c r="AC135" i="15"/>
  <c r="AG141" i="15"/>
  <c r="AA148" i="15"/>
  <c r="AE154" i="15"/>
  <c r="Y161" i="15"/>
  <c r="AC167" i="15"/>
  <c r="AG173" i="15"/>
  <c r="AA180" i="15"/>
  <c r="AE186" i="15"/>
  <c r="Y193" i="15"/>
  <c r="AA200" i="15"/>
  <c r="Y217" i="15"/>
  <c r="AA234" i="15"/>
  <c r="AE252" i="15"/>
  <c r="AD158" i="15"/>
  <c r="AB171" i="15"/>
  <c r="AH184" i="15"/>
  <c r="AH198" i="15"/>
  <c r="AD212" i="15"/>
  <c r="AD226" i="15"/>
  <c r="AD240" i="15"/>
  <c r="AF253" i="15"/>
  <c r="AG211" i="15"/>
  <c r="AG233" i="15"/>
  <c r="Z5" i="15"/>
  <c r="AF155" i="15"/>
  <c r="AH168" i="15"/>
  <c r="AH180" i="15"/>
  <c r="AH192" i="15"/>
  <c r="AD204" i="15"/>
  <c r="AD216" i="15"/>
  <c r="AD228" i="15"/>
  <c r="Z240" i="15"/>
  <c r="AH252" i="15"/>
  <c r="Y207" i="15"/>
  <c r="Y225" i="15"/>
  <c r="AC243" i="15"/>
  <c r="AA8" i="15"/>
  <c r="AD7" i="15"/>
  <c r="Z9" i="15"/>
  <c r="AF10" i="15"/>
  <c r="AB12" i="15"/>
  <c r="AH13" i="15"/>
  <c r="AD15" i="15"/>
  <c r="Z17" i="15"/>
  <c r="AF18" i="15"/>
  <c r="AB20" i="15"/>
  <c r="AH21" i="15"/>
  <c r="AD23" i="15"/>
  <c r="Z25" i="15"/>
  <c r="AF26" i="15"/>
  <c r="AB28" i="15"/>
  <c r="AH29" i="15"/>
  <c r="AD31" i="15"/>
  <c r="Z33" i="15"/>
  <c r="AF34" i="15"/>
  <c r="AB36" i="15"/>
  <c r="AH37" i="15"/>
  <c r="AH39" i="15"/>
  <c r="AD41" i="15"/>
  <c r="Z43" i="15"/>
  <c r="Z45" i="15"/>
  <c r="Z47" i="15"/>
  <c r="Z49" i="15"/>
  <c r="Z51" i="15"/>
  <c r="AD53" i="15"/>
  <c r="AD55" i="15"/>
  <c r="AD57" i="15"/>
  <c r="AH59" i="15"/>
  <c r="AH61" i="15"/>
  <c r="AH63" i="15"/>
  <c r="AB66" i="15"/>
  <c r="AB68" i="15"/>
  <c r="AB70" i="15"/>
  <c r="AF72" i="15"/>
  <c r="AF74" i="15"/>
  <c r="AF76" i="15"/>
  <c r="Z79" i="15"/>
  <c r="Z81" i="15"/>
  <c r="Z83" i="15"/>
  <c r="AD85" i="15"/>
  <c r="AD87" i="15"/>
  <c r="AD89" i="15"/>
  <c r="AH91" i="15"/>
  <c r="AH93" i="15"/>
  <c r="AH95" i="15"/>
  <c r="AB98" i="15"/>
  <c r="AD101" i="15"/>
  <c r="AF104" i="15"/>
  <c r="AH107" i="15"/>
  <c r="Z111" i="15"/>
  <c r="AB114" i="15"/>
  <c r="AD117" i="15"/>
  <c r="AF120" i="15"/>
  <c r="AH123" i="15"/>
  <c r="Z127" i="15"/>
  <c r="AB130" i="15"/>
  <c r="AD133" i="15"/>
  <c r="AF136" i="15"/>
  <c r="AH139" i="15"/>
  <c r="Z143" i="15"/>
  <c r="AB146" i="15"/>
  <c r="AD149" i="15"/>
  <c r="AF152" i="15"/>
  <c r="AH155" i="15"/>
  <c r="Z159" i="15"/>
  <c r="AB162" i="15"/>
  <c r="AD165" i="15"/>
  <c r="AF168" i="15"/>
  <c r="AH171" i="15"/>
  <c r="AF174" i="15"/>
  <c r="AH177" i="15"/>
  <c r="Z181" i="15"/>
  <c r="AB184" i="15"/>
  <c r="AD187" i="15"/>
  <c r="AF190" i="15"/>
  <c r="AH193" i="15"/>
  <c r="Z197" i="15"/>
  <c r="AD199" i="15"/>
  <c r="Z201" i="15"/>
  <c r="AF202" i="15"/>
  <c r="AB204" i="15"/>
  <c r="AH205" i="15"/>
  <c r="AD207" i="15"/>
  <c r="Z209" i="15"/>
  <c r="AF210" i="15"/>
  <c r="AB212" i="15"/>
  <c r="AH213" i="15"/>
  <c r="AD215" i="15"/>
  <c r="Z217" i="15"/>
  <c r="AF218" i="15"/>
  <c r="AB220" i="15"/>
  <c r="AH221" i="15"/>
  <c r="AD223" i="15"/>
  <c r="Z225" i="15"/>
  <c r="AF226" i="15"/>
  <c r="AB228" i="15"/>
  <c r="AH229" i="15"/>
  <c r="AD231" i="15"/>
  <c r="Z233" i="15"/>
  <c r="AF234" i="15"/>
  <c r="AB236" i="15"/>
  <c r="AH237" i="15"/>
  <c r="AD239" i="15"/>
  <c r="Z241" i="15"/>
  <c r="AF242" i="15"/>
  <c r="AB244" i="15"/>
  <c r="AH245" i="15"/>
  <c r="AD247" i="15"/>
  <c r="Z249" i="15"/>
  <c r="AF250" i="15"/>
  <c r="AB252" i="15"/>
  <c r="AH253" i="15"/>
  <c r="Y5" i="15"/>
  <c r="AG6" i="15"/>
  <c r="AC8" i="15"/>
  <c r="AC10" i="15"/>
  <c r="Y12" i="15"/>
  <c r="AE13" i="15"/>
  <c r="AA15" i="15"/>
  <c r="AA17" i="15"/>
  <c r="AG18" i="15"/>
  <c r="AC20" i="15"/>
  <c r="Y22" i="15"/>
  <c r="Y24" i="15"/>
  <c r="AE25" i="15"/>
  <c r="AA27" i="15"/>
  <c r="AA29" i="15"/>
  <c r="AG30" i="15"/>
  <c r="AC32" i="15"/>
  <c r="Y34" i="15"/>
  <c r="Y36" i="15"/>
  <c r="AE37" i="15"/>
  <c r="AA39" i="15"/>
  <c r="AE41" i="15"/>
  <c r="AA43" i="15"/>
  <c r="AG44" i="15"/>
  <c r="AG46" i="15"/>
  <c r="AG48" i="15"/>
  <c r="AA51" i="15"/>
  <c r="AA53" i="15"/>
  <c r="AA55" i="15"/>
  <c r="AE57" i="15"/>
  <c r="AE59" i="15"/>
  <c r="AE61" i="15"/>
  <c r="Y64" i="15"/>
  <c r="Y66" i="15"/>
  <c r="Y68" i="15"/>
  <c r="AC70" i="15"/>
  <c r="AC72" i="15"/>
  <c r="AC74" i="15"/>
  <c r="AG76" i="15"/>
  <c r="AG78" i="15"/>
  <c r="AG80" i="15"/>
  <c r="AA83" i="15"/>
  <c r="AA85" i="15"/>
  <c r="AA87" i="15"/>
  <c r="AE89" i="15"/>
  <c r="AE91" i="15"/>
  <c r="AE93" i="15"/>
  <c r="Y96" i="15"/>
  <c r="AG98" i="15"/>
  <c r="Y102" i="15"/>
  <c r="AA105" i="15"/>
  <c r="AC108" i="15"/>
  <c r="AE111" i="15"/>
  <c r="AG114" i="15"/>
  <c r="Y118" i="15"/>
  <c r="AA121" i="15"/>
  <c r="AC124" i="15"/>
  <c r="AE127" i="15"/>
  <c r="AG130" i="15"/>
  <c r="Y134" i="15"/>
  <c r="AA137" i="15"/>
  <c r="AC140" i="15"/>
  <c r="AE143" i="15"/>
  <c r="AG146" i="15"/>
  <c r="Y150" i="15"/>
  <c r="AA153" i="15"/>
  <c r="AC156" i="15"/>
  <c r="AE159" i="15"/>
  <c r="AG162" i="15"/>
  <c r="Y166" i="15"/>
  <c r="AA169" i="15"/>
  <c r="AC172" i="15"/>
  <c r="AA175" i="15"/>
  <c r="AC178" i="15"/>
  <c r="AE181" i="15"/>
  <c r="AG184" i="15"/>
  <c r="Y188" i="15"/>
  <c r="AA191" i="15"/>
  <c r="AC194" i="15"/>
  <c r="AE197" i="15"/>
  <c r="Y200" i="15"/>
  <c r="AE201" i="15"/>
  <c r="AA203" i="15"/>
  <c r="AG204" i="15"/>
  <c r="AC206" i="15"/>
  <c r="Y208" i="15"/>
  <c r="AE209" i="15"/>
  <c r="AA211" i="15"/>
  <c r="AG212" i="15"/>
  <c r="AC214" i="15"/>
  <c r="Y216" i="15"/>
  <c r="AE217" i="15"/>
  <c r="AA219" i="15"/>
  <c r="AG220" i="15"/>
  <c r="AC222" i="15"/>
  <c r="Y224" i="15"/>
  <c r="AE225" i="15"/>
  <c r="AA227" i="15"/>
  <c r="AG228" i="15"/>
  <c r="AC230" i="15"/>
  <c r="Y232" i="15"/>
  <c r="AE233" i="15"/>
  <c r="AA235" i="15"/>
  <c r="AG236" i="15"/>
  <c r="AC238" i="15"/>
  <c r="Y240" i="15"/>
  <c r="AE241" i="15"/>
  <c r="AA243" i="15"/>
  <c r="AG244" i="15"/>
  <c r="AC246" i="15"/>
  <c r="Y248" i="15"/>
  <c r="AE249" i="15"/>
  <c r="AA251" i="15"/>
  <c r="AG252" i="15"/>
  <c r="AC254" i="15"/>
  <c r="AF5" i="15"/>
  <c r="AA10" i="15"/>
  <c r="AG11" i="15"/>
  <c r="AC13" i="15"/>
  <c r="Y15" i="15"/>
  <c r="AE16" i="15"/>
  <c r="AA18" i="15"/>
  <c r="AG19" i="15"/>
  <c r="AC21" i="15"/>
  <c r="Y23" i="15"/>
  <c r="AC25" i="15"/>
  <c r="AB56" i="15"/>
  <c r="AH81" i="15"/>
  <c r="AH101" i="15"/>
  <c r="AF114" i="15"/>
  <c r="Z137" i="15"/>
  <c r="AF162" i="15"/>
  <c r="AF186" i="15"/>
  <c r="AG50" i="15"/>
  <c r="AA99" i="15"/>
  <c r="AD10" i="15"/>
  <c r="AH16" i="15"/>
  <c r="AF23" i="15"/>
  <c r="Z30" i="15"/>
  <c r="AD36" i="15"/>
  <c r="AH42" i="15"/>
  <c r="AB49" i="15"/>
  <c r="AF55" i="15"/>
  <c r="Z62" i="15"/>
  <c r="AD68" i="15"/>
  <c r="AB75" i="15"/>
  <c r="AF81" i="15"/>
  <c r="AH92" i="15"/>
  <c r="AD106" i="15"/>
  <c r="AB119" i="15"/>
  <c r="AD132" i="15"/>
  <c r="AD146" i="15"/>
  <c r="AE32" i="15"/>
  <c r="Y39" i="15"/>
  <c r="AC45" i="15"/>
  <c r="AG51" i="15"/>
  <c r="AA58" i="15"/>
  <c r="AE64" i="15"/>
  <c r="Y71" i="15"/>
  <c r="AC77" i="15"/>
  <c r="AG83" i="15"/>
  <c r="AA90" i="15"/>
  <c r="AE96" i="15"/>
  <c r="Y103" i="15"/>
  <c r="AC109" i="15"/>
  <c r="AG115" i="15"/>
  <c r="AA122" i="15"/>
  <c r="AE121" i="15"/>
  <c r="AA147" i="15"/>
  <c r="AG172" i="15"/>
  <c r="AC198" i="15"/>
  <c r="AH94" i="15"/>
  <c r="AH106" i="15"/>
  <c r="AF119" i="15"/>
  <c r="Z132" i="15"/>
  <c r="AF143" i="15"/>
  <c r="AE130" i="15"/>
  <c r="Y137" i="15"/>
  <c r="AC143" i="15"/>
  <c r="AG149" i="15"/>
  <c r="AA156" i="15"/>
  <c r="AE162" i="15"/>
  <c r="Y169" i="15"/>
  <c r="AC175" i="15"/>
  <c r="AG181" i="15"/>
  <c r="AA188" i="15"/>
  <c r="AE194" i="15"/>
  <c r="AE202" i="15"/>
  <c r="AC221" i="15"/>
  <c r="Y239" i="15"/>
  <c r="AF161" i="15"/>
  <c r="AH174" i="15"/>
  <c r="AD188" i="15"/>
  <c r="AD202" i="15"/>
  <c r="Z216" i="15"/>
  <c r="Z230" i="15"/>
  <c r="AB243" i="15"/>
  <c r="AC217" i="15"/>
  <c r="AC239" i="15"/>
  <c r="AH158" i="15"/>
  <c r="AF171" i="15"/>
  <c r="AF183" i="15"/>
  <c r="AF195" i="15"/>
  <c r="AB207" i="15"/>
  <c r="AF219" i="15"/>
  <c r="AB231" i="15"/>
  <c r="AF243" i="15"/>
  <c r="AG5" i="15"/>
  <c r="AC211" i="15"/>
  <c r="AA230" i="15"/>
  <c r="AG247" i="15"/>
  <c r="AC9" i="15"/>
  <c r="AF8" i="15"/>
  <c r="AH11" i="15"/>
  <c r="AD13" i="15"/>
  <c r="AF16" i="15"/>
  <c r="AH19" i="15"/>
  <c r="Z23" i="15"/>
  <c r="AB26" i="15"/>
  <c r="AD29" i="15"/>
  <c r="AF32" i="15"/>
  <c r="AH35" i="15"/>
  <c r="AD39" i="15"/>
  <c r="Z41" i="15"/>
  <c r="AF44" i="15"/>
  <c r="AF48" i="15"/>
  <c r="AF52" i="15"/>
  <c r="Z57" i="15"/>
  <c r="Z59" i="15"/>
  <c r="AD63" i="15"/>
  <c r="AH67" i="15"/>
  <c r="AH71" i="15"/>
  <c r="AB76" i="15"/>
  <c r="AF80" i="15"/>
  <c r="AF84" i="15"/>
  <c r="Z89" i="15"/>
  <c r="Z91" i="15"/>
  <c r="AD95" i="15"/>
  <c r="AF100" i="15"/>
  <c r="Z107" i="15"/>
  <c r="AD113" i="15"/>
  <c r="AH119" i="15"/>
  <c r="Z123" i="15"/>
  <c r="AD129" i="15"/>
  <c r="AH135" i="15"/>
  <c r="AB142" i="15"/>
  <c r="AF148" i="15"/>
  <c r="AH151" i="15"/>
  <c r="AB158" i="15"/>
  <c r="AF164" i="15"/>
  <c r="Z171" i="15"/>
  <c r="AB174" i="15"/>
  <c r="AF180" i="15"/>
  <c r="Z187" i="15"/>
  <c r="AD193" i="15"/>
  <c r="Z199" i="15"/>
  <c r="AB202" i="15"/>
  <c r="AH203" i="15"/>
  <c r="Z207" i="15"/>
  <c r="AB210" i="15"/>
  <c r="AD213" i="15"/>
  <c r="Z215" i="15"/>
  <c r="AB218" i="15"/>
  <c r="AD221" i="15"/>
  <c r="AF224" i="15"/>
  <c r="AH227" i="15"/>
  <c r="AD229" i="15"/>
  <c r="AF232" i="15"/>
  <c r="AB234" i="15"/>
  <c r="AD237" i="15"/>
  <c r="AF240" i="15"/>
  <c r="AH243" i="15"/>
  <c r="Z247" i="15"/>
  <c r="AF248" i="15"/>
  <c r="AH251" i="15"/>
  <c r="AA5" i="15"/>
  <c r="AC6" i="15"/>
  <c r="AE11" i="15"/>
  <c r="AG14" i="15"/>
  <c r="AC18" i="15"/>
  <c r="AE23" i="15"/>
  <c r="AG26" i="15"/>
  <c r="Y32" i="15"/>
  <c r="AA37" i="15"/>
  <c r="AG40" i="15"/>
  <c r="Y46" i="15"/>
  <c r="AG52" i="15"/>
  <c r="AA59" i="15"/>
  <c r="AA63" i="15"/>
  <c r="AE69" i="15"/>
  <c r="Y76" i="15"/>
  <c r="AC80" i="15"/>
  <c r="AG86" i="15"/>
  <c r="AA91" i="15"/>
  <c r="Y98" i="15"/>
  <c r="AE107" i="15"/>
  <c r="AA117" i="15"/>
  <c r="AE123" i="15"/>
  <c r="AA133" i="15"/>
  <c r="AG142" i="15"/>
  <c r="AA149" i="15"/>
  <c r="AG158" i="15"/>
  <c r="AC168" i="15"/>
  <c r="AG174" i="15"/>
  <c r="AC184" i="15"/>
  <c r="AG190" i="15"/>
  <c r="AE199" i="15"/>
  <c r="AC204" i="15"/>
  <c r="AE207" i="15"/>
  <c r="AA209" i="15"/>
  <c r="Y214" i="15"/>
  <c r="AA217" i="15"/>
  <c r="AC220" i="15"/>
  <c r="AE223" i="15"/>
  <c r="AA225" i="15"/>
  <c r="AC228" i="15"/>
  <c r="Y230" i="15"/>
  <c r="AA233" i="15"/>
  <c r="AG234" i="15"/>
  <c r="AC236" i="15"/>
  <c r="Y238" i="15"/>
  <c r="AE239" i="15"/>
  <c r="AG242" i="15"/>
  <c r="AC244" i="15"/>
  <c r="Y246" i="15"/>
  <c r="AE247" i="15"/>
  <c r="AA249" i="15"/>
  <c r="AG250" i="15"/>
  <c r="AC252" i="15"/>
  <c r="Y254" i="15"/>
  <c r="Z116" i="15"/>
  <c r="AE8" i="15"/>
  <c r="AH7" i="15"/>
  <c r="Z11" i="15"/>
  <c r="AB14" i="15"/>
  <c r="AD17" i="15"/>
  <c r="AF20" i="15"/>
  <c r="AH23" i="15"/>
  <c r="Z27" i="15"/>
  <c r="AB30" i="15"/>
  <c r="AD33" i="15"/>
  <c r="AF36" i="15"/>
  <c r="AB40" i="15"/>
  <c r="AD43" i="15"/>
  <c r="AD47" i="15"/>
  <c r="AH51" i="15"/>
  <c r="AH55" i="15"/>
  <c r="AB60" i="15"/>
  <c r="AF64" i="15"/>
  <c r="AF68" i="15"/>
  <c r="Z73" i="15"/>
  <c r="AD77" i="15"/>
  <c r="AD81" i="15"/>
  <c r="AH85" i="15"/>
  <c r="AB90" i="15"/>
  <c r="AB94" i="15"/>
  <c r="Z99" i="15"/>
  <c r="AD105" i="15"/>
  <c r="AH111" i="15"/>
  <c r="AB118" i="15"/>
  <c r="AF124" i="15"/>
  <c r="Z131" i="15"/>
  <c r="AD137" i="15"/>
  <c r="AH143" i="15"/>
  <c r="AB150" i="15"/>
  <c r="AF156" i="15"/>
  <c r="AB166" i="15"/>
  <c r="AF172" i="15"/>
  <c r="Z179" i="15"/>
  <c r="AD185" i="15"/>
  <c r="AH191" i="15"/>
  <c r="Z195" i="15"/>
  <c r="AB198" i="15"/>
  <c r="AH199" i="15"/>
  <c r="AD201" i="15"/>
  <c r="AF204" i="15"/>
  <c r="AB206" i="15"/>
  <c r="AH207" i="15"/>
  <c r="AD209" i="15"/>
  <c r="Z211" i="15"/>
  <c r="AF212" i="15"/>
  <c r="AB214" i="15"/>
  <c r="AH215" i="15"/>
  <c r="AD217" i="15"/>
  <c r="Z219" i="15"/>
  <c r="AF220" i="15"/>
  <c r="AB222" i="15"/>
  <c r="AH223" i="15"/>
  <c r="AD225" i="15"/>
  <c r="Z227" i="15"/>
  <c r="AF228" i="15"/>
  <c r="AB230" i="15"/>
  <c r="AH231" i="15"/>
  <c r="AD233" i="15"/>
  <c r="Z235" i="15"/>
  <c r="AF236" i="15"/>
  <c r="AB238" i="15"/>
  <c r="AH239" i="15"/>
  <c r="AD241" i="15"/>
  <c r="Z243" i="15"/>
  <c r="AF244" i="15"/>
  <c r="AB246" i="15"/>
  <c r="AH247" i="15"/>
  <c r="AD249" i="15"/>
  <c r="Z251" i="15"/>
  <c r="AF252" i="15"/>
  <c r="AB254" i="15"/>
  <c r="AE5" i="15"/>
  <c r="AA7" i="15"/>
  <c r="AG8" i="15"/>
  <c r="AG10" i="15"/>
  <c r="AC12" i="15"/>
  <c r="Y14" i="15"/>
  <c r="AE15" i="15"/>
  <c r="AE17" i="15"/>
  <c r="AA19" i="15"/>
  <c r="AG20" i="15"/>
  <c r="AC22" i="15"/>
  <c r="AC24" i="15"/>
  <c r="Y26" i="15"/>
  <c r="AE27" i="15"/>
  <c r="AA31" i="15"/>
  <c r="AG32" i="15"/>
  <c r="AC34" i="15"/>
  <c r="AC36" i="15"/>
  <c r="Y38" i="15"/>
  <c r="AE39" i="15"/>
  <c r="Y42" i="15"/>
  <c r="AE43" i="15"/>
  <c r="AA45" i="15"/>
  <c r="AA47" i="15"/>
  <c r="AE49" i="15"/>
  <c r="AE51" i="15"/>
  <c r="AE53" i="15"/>
  <c r="Y56" i="15"/>
  <c r="Y58" i="15"/>
  <c r="Y60" i="15"/>
  <c r="AC62" i="15"/>
  <c r="AC64" i="15"/>
  <c r="AC66" i="15"/>
  <c r="AG68" i="15"/>
  <c r="AG70" i="15"/>
  <c r="AG72" i="15"/>
  <c r="AA75" i="15"/>
  <c r="AA77" i="15"/>
  <c r="AA79" i="15"/>
  <c r="AE81" i="15"/>
  <c r="AE83" i="15"/>
  <c r="AE85" i="15"/>
  <c r="Y88" i="15"/>
  <c r="Y90" i="15"/>
  <c r="Y92" i="15"/>
  <c r="AC94" i="15"/>
  <c r="AC96" i="15"/>
  <c r="AE99" i="15"/>
  <c r="AG102" i="15"/>
  <c r="Y106" i="15"/>
  <c r="AA109" i="15"/>
  <c r="AC112" i="15"/>
  <c r="AE115" i="15"/>
  <c r="AG118" i="15"/>
  <c r="Y122" i="15"/>
  <c r="AA125" i="15"/>
  <c r="AC128" i="15"/>
  <c r="AE131" i="15"/>
  <c r="AG134" i="15"/>
  <c r="Y138" i="15"/>
  <c r="AA141" i="15"/>
  <c r="AC144" i="15"/>
  <c r="AE147" i="15"/>
  <c r="AG150" i="15"/>
  <c r="Y154" i="15"/>
  <c r="AA157" i="15"/>
  <c r="AC160" i="15"/>
  <c r="AE163" i="15"/>
  <c r="AG166" i="15"/>
  <c r="Y170" i="15"/>
  <c r="AA173" i="15"/>
  <c r="AC176" i="15"/>
  <c r="AE179" i="15"/>
  <c r="AG182" i="15"/>
  <c r="Y186" i="15"/>
  <c r="AA189" i="15"/>
  <c r="AC192" i="15"/>
  <c r="AE195" i="15"/>
  <c r="AG198" i="15"/>
  <c r="AC200" i="15"/>
  <c r="Y202" i="15"/>
  <c r="AE203" i="15"/>
  <c r="AA205" i="15"/>
  <c r="AG206" i="15"/>
  <c r="AC208" i="15"/>
  <c r="Y210" i="15"/>
  <c r="AE211" i="15"/>
  <c r="AA213" i="15"/>
  <c r="AG214" i="15"/>
  <c r="AC216" i="15"/>
  <c r="Y218" i="15"/>
  <c r="AE219" i="15"/>
  <c r="AA221" i="15"/>
  <c r="AG222" i="15"/>
  <c r="AC224" i="15"/>
  <c r="Y226" i="15"/>
  <c r="AE227" i="15"/>
  <c r="AA229" i="15"/>
  <c r="AG230" i="15"/>
  <c r="AC232" i="15"/>
  <c r="Y234" i="15"/>
  <c r="AE235" i="15"/>
  <c r="AA237" i="15"/>
  <c r="AG238" i="15"/>
  <c r="AC240" i="15"/>
  <c r="Y242" i="15"/>
  <c r="AE243" i="15"/>
  <c r="AA245" i="15"/>
  <c r="AG246" i="15"/>
  <c r="AC248" i="15"/>
  <c r="Y250" i="15"/>
  <c r="AE251" i="15"/>
  <c r="AA253" i="15"/>
  <c r="AG254" i="15"/>
  <c r="AE10" i="15"/>
  <c r="AA12" i="15"/>
  <c r="AG13" i="15"/>
  <c r="AC15" i="15"/>
  <c r="Y17" i="15"/>
  <c r="AE18" i="15"/>
  <c r="AA20" i="15"/>
  <c r="AG21" i="15"/>
  <c r="AC23" i="15"/>
  <c r="AA26" i="15"/>
  <c r="AF62" i="15"/>
  <c r="AB88" i="15"/>
  <c r="Z105" i="15"/>
  <c r="AH117" i="15"/>
  <c r="AD143" i="15"/>
  <c r="Z169" i="15"/>
  <c r="Z193" i="15"/>
  <c r="AE63" i="15"/>
  <c r="Y112" i="15"/>
  <c r="Z12" i="15"/>
  <c r="AH18" i="15"/>
  <c r="AB25" i="15"/>
  <c r="AF31" i="15"/>
  <c r="Z38" i="15"/>
  <c r="AD44" i="15"/>
  <c r="AH50" i="15"/>
  <c r="AB57" i="15"/>
  <c r="AF63" i="15"/>
  <c r="Z70" i="15"/>
  <c r="AH76" i="15"/>
  <c r="AB83" i="15"/>
  <c r="Z96" i="15"/>
  <c r="AF109" i="15"/>
  <c r="AD122" i="15"/>
  <c r="AD136" i="15"/>
  <c r="AG27" i="15"/>
  <c r="AA34" i="15"/>
  <c r="AE40" i="15"/>
  <c r="Y47" i="15"/>
  <c r="AC53" i="15"/>
  <c r="AG59" i="15"/>
  <c r="AA66" i="15"/>
  <c r="AE72" i="15"/>
  <c r="Y79" i="15"/>
  <c r="AC85" i="15"/>
  <c r="AG91" i="15"/>
  <c r="AA98" i="15"/>
  <c r="AE104" i="15"/>
  <c r="Y111" i="15"/>
  <c r="AC117" i="15"/>
  <c r="AG123" i="15"/>
  <c r="Y128" i="15"/>
  <c r="AE153" i="15"/>
  <c r="AA179" i="15"/>
  <c r="AF85" i="15"/>
  <c r="Z98" i="15"/>
  <c r="Z110" i="15"/>
  <c r="AH122" i="15"/>
  <c r="AH134" i="15"/>
  <c r="AH146" i="15"/>
  <c r="AA132" i="15"/>
  <c r="AE138" i="15"/>
  <c r="Y145" i="15"/>
  <c r="AC151" i="15"/>
  <c r="AG157" i="15"/>
  <c r="AA164" i="15"/>
  <c r="AE170" i="15"/>
  <c r="Y177" i="15"/>
  <c r="AC183" i="15"/>
  <c r="AG189" i="15"/>
  <c r="AA196" i="15"/>
  <c r="AC207" i="15"/>
  <c r="AG225" i="15"/>
  <c r="AG243" i="15"/>
  <c r="AF151" i="15"/>
  <c r="AD164" i="15"/>
  <c r="Z178" i="15"/>
  <c r="AF191" i="15"/>
  <c r="Z206" i="15"/>
  <c r="AB219" i="15"/>
  <c r="AF233" i="15"/>
  <c r="AH246" i="15"/>
  <c r="AC199" i="15"/>
  <c r="AA222" i="15"/>
  <c r="AA244" i="15"/>
  <c r="Z150" i="15"/>
  <c r="AD162" i="15"/>
  <c r="AD174" i="15"/>
  <c r="AH186" i="15"/>
  <c r="AD198" i="15"/>
  <c r="AD210" i="15"/>
  <c r="AD222" i="15"/>
  <c r="Z234" i="15"/>
  <c r="AD246" i="15"/>
  <c r="AC215" i="15"/>
  <c r="AE234" i="15"/>
  <c r="Y253" i="15"/>
  <c r="Y7" i="15"/>
  <c r="Z7" i="15"/>
  <c r="AB10" i="15"/>
  <c r="Z15" i="15"/>
  <c r="AB18" i="15"/>
  <c r="AD21" i="15"/>
  <c r="AF24" i="15"/>
  <c r="AH27" i="15"/>
  <c r="Z31" i="15"/>
  <c r="AB34" i="15"/>
  <c r="AD37" i="15"/>
  <c r="AF42" i="15"/>
  <c r="AF46" i="15"/>
  <c r="AF50" i="15"/>
  <c r="Z55" i="15"/>
  <c r="AD61" i="15"/>
  <c r="AD65" i="15"/>
  <c r="AH69" i="15"/>
  <c r="AB74" i="15"/>
  <c r="AB78" i="15"/>
  <c r="AF82" i="15"/>
  <c r="Z87" i="15"/>
  <c r="AD93" i="15"/>
  <c r="AD97" i="15"/>
  <c r="AH103" i="15"/>
  <c r="AB110" i="15"/>
  <c r="AF116" i="15"/>
  <c r="AB126" i="15"/>
  <c r="AF132" i="15"/>
  <c r="Z139" i="15"/>
  <c r="AD145" i="15"/>
  <c r="Z155" i="15"/>
  <c r="AD161" i="15"/>
  <c r="AH167" i="15"/>
  <c r="AD177" i="15"/>
  <c r="AH183" i="15"/>
  <c r="AB190" i="15"/>
  <c r="AF196" i="15"/>
  <c r="AF200" i="15"/>
  <c r="AD205" i="15"/>
  <c r="AF208" i="15"/>
  <c r="AH211" i="15"/>
  <c r="AF216" i="15"/>
  <c r="AH219" i="15"/>
  <c r="Z223" i="15"/>
  <c r="AB226" i="15"/>
  <c r="Z231" i="15"/>
  <c r="AH235" i="15"/>
  <c r="Z239" i="15"/>
  <c r="AB242" i="15"/>
  <c r="AD245" i="15"/>
  <c r="AB250" i="15"/>
  <c r="AD253" i="15"/>
  <c r="Y8" i="15"/>
  <c r="AG16" i="15"/>
  <c r="AE21" i="15"/>
  <c r="AC28" i="15"/>
  <c r="AA35" i="15"/>
  <c r="AG42" i="15"/>
  <c r="AC50" i="15"/>
  <c r="AG56" i="15"/>
  <c r="AE65" i="15"/>
  <c r="Y74" i="15"/>
  <c r="AC82" i="15"/>
  <c r="AA93" i="15"/>
  <c r="AC104" i="15"/>
  <c r="Y114" i="15"/>
  <c r="AG126" i="15"/>
  <c r="AE139" i="15"/>
  <c r="AC152" i="15"/>
  <c r="AA165" i="15"/>
  <c r="AA181" i="15"/>
  <c r="Y194" i="15"/>
  <c r="AA201" i="15"/>
  <c r="Y206" i="15"/>
  <c r="AG210" i="15"/>
  <c r="AE215" i="15"/>
  <c r="AG218" i="15"/>
  <c r="Y222" i="15"/>
  <c r="AG226" i="15"/>
  <c r="AE231" i="15"/>
  <c r="AA241" i="15"/>
  <c r="AH142" i="15"/>
  <c r="AA6" i="15"/>
  <c r="AB6" i="15"/>
  <c r="AD9" i="15"/>
  <c r="AF12" i="15"/>
  <c r="AH15" i="15"/>
  <c r="Z19" i="15"/>
  <c r="AB22" i="15"/>
  <c r="AD25" i="15"/>
  <c r="AF28" i="15"/>
  <c r="AH31" i="15"/>
  <c r="Z35" i="15"/>
  <c r="AB38" i="15"/>
  <c r="AH41" i="15"/>
  <c r="AH45" i="15"/>
  <c r="AD49" i="15"/>
  <c r="AH53" i="15"/>
  <c r="AB58" i="15"/>
  <c r="AB62" i="15"/>
  <c r="AF66" i="15"/>
  <c r="Z71" i="15"/>
  <c r="Z75" i="15"/>
  <c r="AD79" i="15"/>
  <c r="AH83" i="15"/>
  <c r="AH87" i="15"/>
  <c r="AB92" i="15"/>
  <c r="AB96" i="15"/>
  <c r="AB102" i="15"/>
  <c r="AF108" i="15"/>
  <c r="Z115" i="15"/>
  <c r="AD121" i="15"/>
  <c r="AH127" i="15"/>
  <c r="AB134" i="15"/>
  <c r="AF140" i="15"/>
  <c r="Z147" i="15"/>
  <c r="AD153" i="15"/>
  <c r="AH159" i="15"/>
  <c r="Z163" i="15"/>
  <c r="AD169" i="15"/>
  <c r="AH175" i="15"/>
  <c r="AB182" i="15"/>
  <c r="AF188" i="15"/>
  <c r="Z203" i="15"/>
  <c r="AE29" i="15"/>
  <c r="AE6" i="15"/>
  <c r="Y9" i="15"/>
  <c r="AF6" i="15"/>
  <c r="AB8" i="15"/>
  <c r="AH9" i="15"/>
  <c r="AD11" i="15"/>
  <c r="Z13" i="15"/>
  <c r="AF14" i="15"/>
  <c r="AB16" i="15"/>
  <c r="AH17" i="15"/>
  <c r="AD19" i="15"/>
  <c r="Z21" i="15"/>
  <c r="AF22" i="15"/>
  <c r="AB24" i="15"/>
  <c r="AH25" i="15"/>
  <c r="AD27" i="15"/>
  <c r="Z29" i="15"/>
  <c r="AF30" i="15"/>
  <c r="AB32" i="15"/>
  <c r="AH33" i="15"/>
  <c r="AD35" i="15"/>
  <c r="Z37" i="15"/>
  <c r="AF38" i="15"/>
  <c r="AF40" i="15"/>
  <c r="AB42" i="15"/>
  <c r="AH43" i="15"/>
  <c r="AB46" i="15"/>
  <c r="AH47" i="15"/>
  <c r="AB50" i="15"/>
  <c r="AB52" i="15"/>
  <c r="AB54" i="15"/>
  <c r="AF56" i="15"/>
  <c r="AF58" i="15"/>
  <c r="AF60" i="15"/>
  <c r="Z63" i="15"/>
  <c r="Z65" i="15"/>
  <c r="Z67" i="15"/>
  <c r="AD69" i="15"/>
  <c r="AD71" i="15"/>
  <c r="AD73" i="15"/>
  <c r="AH75" i="15"/>
  <c r="AH77" i="15"/>
  <c r="AH79" i="15"/>
  <c r="AB82" i="15"/>
  <c r="AB84" i="15"/>
  <c r="AB86" i="15"/>
  <c r="AF88" i="15"/>
  <c r="AF90" i="15"/>
  <c r="AF92" i="15"/>
  <c r="Z95" i="15"/>
  <c r="AF96" i="15"/>
  <c r="AH99" i="15"/>
  <c r="Z103" i="15"/>
  <c r="AB106" i="15"/>
  <c r="AD109" i="15"/>
  <c r="AF112" i="15"/>
  <c r="AH115" i="15"/>
  <c r="Z119" i="15"/>
  <c r="AB122" i="15"/>
  <c r="AD125" i="15"/>
  <c r="AF128" i="15"/>
  <c r="AH131" i="15"/>
  <c r="Z135" i="15"/>
  <c r="AB138" i="15"/>
  <c r="AD141" i="15"/>
  <c r="AF144" i="15"/>
  <c r="AH147" i="15"/>
  <c r="Z151" i="15"/>
  <c r="AB154" i="15"/>
  <c r="AD157" i="15"/>
  <c r="AF160" i="15"/>
  <c r="AH163" i="15"/>
  <c r="Z167" i="15"/>
  <c r="AB170" i="15"/>
  <c r="Z173" i="15"/>
  <c r="AB176" i="15"/>
  <c r="AD179" i="15"/>
  <c r="AF182" i="15"/>
  <c r="AH185" i="15"/>
  <c r="Z189" i="15"/>
  <c r="AB192" i="15"/>
  <c r="AD195" i="15"/>
  <c r="AF198" i="15"/>
  <c r="AB200" i="15"/>
  <c r="AH201" i="15"/>
  <c r="AD203" i="15"/>
  <c r="Z205" i="15"/>
  <c r="AF206" i="15"/>
  <c r="AB208" i="15"/>
  <c r="AH209" i="15"/>
  <c r="AD211" i="15"/>
  <c r="Z213" i="15"/>
  <c r="AF214" i="15"/>
  <c r="AB216" i="15"/>
  <c r="AH217" i="15"/>
  <c r="AD219" i="15"/>
  <c r="Z221" i="15"/>
  <c r="AF222" i="15"/>
  <c r="AB224" i="15"/>
  <c r="AH225" i="15"/>
  <c r="AD227" i="15"/>
  <c r="Z229" i="15"/>
  <c r="AF230" i="15"/>
  <c r="AB232" i="15"/>
  <c r="AH233" i="15"/>
  <c r="AD235" i="15"/>
  <c r="Z237" i="15"/>
  <c r="AF238" i="15"/>
  <c r="AB240" i="15"/>
  <c r="AH241" i="15"/>
  <c r="AD243" i="15"/>
  <c r="Z245" i="15"/>
  <c r="AF246" i="15"/>
  <c r="AB248" i="15"/>
  <c r="AH249" i="15"/>
  <c r="AD251" i="15"/>
  <c r="Z253" i="15"/>
  <c r="AF254" i="15"/>
  <c r="Y6" i="15"/>
  <c r="AE7" i="15"/>
  <c r="AA9" i="15"/>
  <c r="AA11" i="15"/>
  <c r="AG12" i="15"/>
  <c r="AC14" i="15"/>
  <c r="AC16" i="15"/>
  <c r="Y18" i="15"/>
  <c r="AE19" i="15"/>
  <c r="AA21" i="15"/>
  <c r="AA23" i="15"/>
  <c r="AG24" i="15"/>
  <c r="AC26" i="15"/>
  <c r="Y28" i="15"/>
  <c r="Y30" i="15"/>
  <c r="AE31" i="15"/>
  <c r="AA33" i="15"/>
  <c r="AG34" i="15"/>
  <c r="AG36" i="15"/>
  <c r="AC38" i="15"/>
  <c r="AC40" i="15"/>
  <c r="AC42" i="15"/>
  <c r="Y44" i="15"/>
  <c r="AE45" i="15"/>
  <c r="Y48" i="15"/>
  <c r="Y50" i="15"/>
  <c r="Y52" i="15"/>
  <c r="AC54" i="15"/>
  <c r="AC56" i="15"/>
  <c r="AC58" i="15"/>
  <c r="AG60" i="15"/>
  <c r="AG62" i="15"/>
  <c r="AG64" i="15"/>
  <c r="AA67" i="15"/>
  <c r="AA69" i="15"/>
  <c r="AA71" i="15"/>
  <c r="AE73" i="15"/>
  <c r="AE75" i="15"/>
  <c r="AE77" i="15"/>
  <c r="Y80" i="15"/>
  <c r="Y82" i="15"/>
  <c r="Y84" i="15"/>
  <c r="AC86" i="15"/>
  <c r="AC88" i="15"/>
  <c r="AC90" i="15"/>
  <c r="AG92" i="15"/>
  <c r="AG94" i="15"/>
  <c r="AA97" i="15"/>
  <c r="AC100" i="15"/>
  <c r="AE103" i="15"/>
  <c r="AG106" i="15"/>
  <c r="Y110" i="15"/>
  <c r="AA113" i="15"/>
  <c r="AC116" i="15"/>
  <c r="AE119" i="15"/>
  <c r="AG122" i="15"/>
  <c r="Y126" i="15"/>
  <c r="AA129" i="15"/>
  <c r="AC132" i="15"/>
  <c r="AE135" i="15"/>
  <c r="AG138" i="15"/>
  <c r="Y142" i="15"/>
  <c r="AA145" i="15"/>
  <c r="AC148" i="15"/>
  <c r="AE151" i="15"/>
  <c r="AG154" i="15"/>
  <c r="Y158" i="15"/>
  <c r="AA161" i="15"/>
  <c r="AC164" i="15"/>
  <c r="AE167" i="15"/>
  <c r="AG170" i="15"/>
  <c r="AE173" i="15"/>
  <c r="AG176" i="15"/>
  <c r="Y180" i="15"/>
  <c r="AA183" i="15"/>
  <c r="AC186" i="15"/>
  <c r="AE189" i="15"/>
  <c r="AG192" i="15"/>
  <c r="Y196" i="15"/>
  <c r="AA199" i="15"/>
  <c r="AG200" i="15"/>
  <c r="AC202" i="15"/>
  <c r="Y204" i="15"/>
  <c r="AE205" i="15"/>
  <c r="AA207" i="15"/>
  <c r="AG208" i="15"/>
  <c r="AC210" i="15"/>
  <c r="Y212" i="15"/>
  <c r="AE213" i="15"/>
  <c r="AA215" i="15"/>
  <c r="AG216" i="15"/>
  <c r="AC218" i="15"/>
  <c r="Y220" i="15"/>
  <c r="AE221" i="15"/>
  <c r="AA223" i="15"/>
  <c r="AG224" i="15"/>
  <c r="AC226" i="15"/>
  <c r="Y228" i="15"/>
  <c r="AE229" i="15"/>
  <c r="AA231" i="15"/>
  <c r="AG232" i="15"/>
  <c r="AC234" i="15"/>
  <c r="Y236" i="15"/>
  <c r="AE237" i="15"/>
  <c r="AA239" i="15"/>
  <c r="AG240" i="15"/>
  <c r="AC242" i="15"/>
  <c r="Y244" i="15"/>
  <c r="AE245" i="15"/>
  <c r="AA247" i="15"/>
  <c r="AG248" i="15"/>
  <c r="AC250" i="15"/>
  <c r="Y252" i="15"/>
  <c r="AE253" i="15"/>
  <c r="AB5" i="15"/>
  <c r="AG7" i="15"/>
  <c r="Y11" i="15"/>
  <c r="AE12" i="15"/>
  <c r="AA14" i="15"/>
  <c r="AG15" i="15"/>
  <c r="AC17" i="15"/>
  <c r="Y19" i="15"/>
  <c r="AE20" i="15"/>
  <c r="AA22" i="15"/>
  <c r="AG23" i="15"/>
  <c r="AC27" i="15"/>
  <c r="Z69" i="15"/>
  <c r="AF94" i="15"/>
  <c r="AB108" i="15"/>
  <c r="AB124" i="15"/>
  <c r="AH149" i="15"/>
  <c r="AH173" i="15"/>
  <c r="AE105" i="15"/>
  <c r="AC76" i="15"/>
  <c r="AB7" i="15"/>
  <c r="AF13" i="15"/>
  <c r="AD20" i="15"/>
  <c r="AH26" i="15"/>
  <c r="AB33" i="15"/>
  <c r="AF39" i="15"/>
  <c r="Z46" i="15"/>
  <c r="AD52" i="15"/>
  <c r="AH58" i="15"/>
  <c r="AB65" i="15"/>
  <c r="AF71" i="15"/>
  <c r="AD78" i="15"/>
  <c r="Z86" i="15"/>
  <c r="AB99" i="15"/>
  <c r="AH112" i="15"/>
  <c r="AF125" i="15"/>
  <c r="AF139" i="15"/>
  <c r="AC29" i="15"/>
  <c r="AG35" i="15"/>
  <c r="AA42" i="15"/>
  <c r="AE48" i="15"/>
  <c r="Y55" i="15"/>
  <c r="AC61" i="15"/>
  <c r="AG67" i="15"/>
  <c r="AA74" i="15"/>
  <c r="AE80" i="15"/>
  <c r="Y87" i="15"/>
  <c r="AC93" i="15"/>
  <c r="AG99" i="15"/>
  <c r="AA106" i="15"/>
  <c r="AE112" i="15"/>
  <c r="Y119" i="15"/>
  <c r="AC125" i="15"/>
  <c r="AC134" i="15"/>
  <c r="Y160" i="15"/>
  <c r="AE185" i="15"/>
  <c r="AD88" i="15"/>
  <c r="AH100" i="15"/>
  <c r="AB113" i="15"/>
  <c r="Z126" i="15"/>
  <c r="AF137" i="15"/>
  <c r="AC127" i="15"/>
  <c r="AG133" i="15"/>
  <c r="AA140" i="15"/>
  <c r="AE146" i="15"/>
  <c r="Y153" i="15"/>
  <c r="AC159" i="15"/>
  <c r="AG165" i="15"/>
  <c r="AA172" i="15"/>
  <c r="AE178" i="15"/>
  <c r="Y185" i="15"/>
  <c r="AC191" i="15"/>
  <c r="AG197" i="15"/>
  <c r="AA212" i="15"/>
  <c r="AG229" i="15"/>
  <c r="AE248" i="15"/>
  <c r="AB155" i="15"/>
  <c r="AB167" i="15"/>
  <c r="AB181" i="15"/>
  <c r="AB195" i="15"/>
  <c r="AB209" i="15"/>
  <c r="AH222" i="15"/>
  <c r="AB237" i="15"/>
  <c r="Z250" i="15"/>
  <c r="AE206" i="15"/>
  <c r="AA228" i="15"/>
  <c r="AG249" i="15"/>
  <c r="AD152" i="15"/>
  <c r="Z166" i="15"/>
  <c r="AF177" i="15"/>
  <c r="AF189" i="15"/>
  <c r="AF201" i="15"/>
  <c r="AB213" i="15"/>
  <c r="AF225" i="15"/>
  <c r="AH236" i="15"/>
  <c r="AF249" i="15"/>
  <c r="Y203" i="15"/>
  <c r="AA220" i="15"/>
  <c r="AE238" i="15"/>
  <c r="AK5" i="15" l="1" a="1"/>
  <c r="AK5" i="15" s="1"/>
  <c r="AK20" i="15" s="1" a="1"/>
  <c r="AK20" i="15" s="1"/>
  <c r="AK21" i="15" s="1"/>
  <c r="AK24" i="15" l="1"/>
  <c r="AK23" i="15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N44" i="14"/>
  <c r="M44" i="14"/>
  <c r="J44" i="14"/>
  <c r="K44" i="14"/>
  <c r="L44" i="14"/>
  <c r="D9" i="14"/>
  <c r="D15" i="14" a="1"/>
  <c r="D16" i="14" a="1"/>
  <c r="D16" i="14" l="1"/>
  <c r="G30" i="14" s="1"/>
  <c r="D15" i="14"/>
  <c r="G6" i="14" l="1"/>
  <c r="B44" i="14"/>
  <c r="F7" i="6" l="1"/>
  <c r="B8" i="9" a="1"/>
  <c r="B8" i="9" l="1"/>
  <c r="E12" i="9" l="1"/>
  <c r="C13" i="9" s="1"/>
  <c r="E7" i="9"/>
  <c r="F9" i="6"/>
  <c r="G9" i="6"/>
  <c r="G8" i="6"/>
  <c r="G7" i="6"/>
  <c r="F8" i="6"/>
  <c r="B11" i="7"/>
  <c r="E25" i="7" l="1"/>
  <c r="E13" i="7"/>
  <c r="H7" i="6"/>
  <c r="I7" i="6" s="1"/>
  <c r="H8" i="6"/>
  <c r="I8" i="6" s="1"/>
  <c r="H9" i="6"/>
  <c r="I9" i="6" s="1"/>
  <c r="E4" i="7"/>
  <c r="E24" i="3"/>
  <c r="F24" i="3"/>
  <c r="G24" i="3"/>
  <c r="H24" i="3"/>
  <c r="I24" i="3"/>
  <c r="J24" i="3"/>
  <c r="K24" i="3"/>
  <c r="L24" i="3"/>
  <c r="E25" i="3"/>
  <c r="F25" i="3"/>
  <c r="G25" i="3"/>
  <c r="H25" i="3"/>
  <c r="I25" i="3"/>
  <c r="J25" i="3"/>
  <c r="K25" i="3"/>
  <c r="L25" i="3"/>
  <c r="E26" i="3"/>
  <c r="F26" i="3"/>
  <c r="G26" i="3"/>
  <c r="H26" i="3"/>
  <c r="I26" i="3"/>
  <c r="J26" i="3"/>
  <c r="K26" i="3"/>
  <c r="L26" i="3"/>
  <c r="E27" i="3"/>
  <c r="F27" i="3"/>
  <c r="G27" i="3"/>
  <c r="H27" i="3"/>
  <c r="I27" i="3"/>
  <c r="J27" i="3"/>
  <c r="K27" i="3"/>
  <c r="L27" i="3"/>
  <c r="E28" i="3"/>
  <c r="F28" i="3"/>
  <c r="G28" i="3"/>
  <c r="H28" i="3"/>
  <c r="I28" i="3"/>
  <c r="J28" i="3"/>
  <c r="K28" i="3"/>
  <c r="L28" i="3"/>
  <c r="E29" i="3"/>
  <c r="F29" i="3"/>
  <c r="G29" i="3"/>
  <c r="H29" i="3"/>
  <c r="I29" i="3"/>
  <c r="J29" i="3"/>
  <c r="K29" i="3"/>
  <c r="L29" i="3"/>
  <c r="E30" i="3"/>
  <c r="F30" i="3"/>
  <c r="G30" i="3"/>
  <c r="H30" i="3"/>
  <c r="I30" i="3"/>
  <c r="J30" i="3"/>
  <c r="K30" i="3"/>
  <c r="L30" i="3"/>
  <c r="E31" i="3"/>
  <c r="F31" i="3"/>
  <c r="G31" i="3"/>
  <c r="H31" i="3"/>
  <c r="I31" i="3"/>
  <c r="J31" i="3"/>
  <c r="K31" i="3"/>
  <c r="L31" i="3"/>
  <c r="E32" i="3"/>
  <c r="F32" i="3"/>
  <c r="G32" i="3"/>
  <c r="H32" i="3"/>
  <c r="I32" i="3"/>
  <c r="J32" i="3"/>
  <c r="K32" i="3"/>
  <c r="L32" i="3"/>
  <c r="E33" i="3"/>
  <c r="F33" i="3"/>
  <c r="G33" i="3"/>
  <c r="H33" i="3"/>
  <c r="I33" i="3"/>
  <c r="J33" i="3"/>
  <c r="K33" i="3"/>
  <c r="L33" i="3"/>
  <c r="E34" i="3"/>
  <c r="F34" i="3"/>
  <c r="G34" i="3"/>
  <c r="H34" i="3"/>
  <c r="I34" i="3"/>
  <c r="J34" i="3"/>
  <c r="K34" i="3"/>
  <c r="L34" i="3"/>
  <c r="E35" i="3"/>
  <c r="F35" i="3"/>
  <c r="G35" i="3"/>
  <c r="H35" i="3"/>
  <c r="I35" i="3"/>
  <c r="J35" i="3"/>
  <c r="K35" i="3"/>
  <c r="L35" i="3"/>
  <c r="E36" i="3"/>
  <c r="F36" i="3"/>
  <c r="G36" i="3"/>
  <c r="H36" i="3"/>
  <c r="I36" i="3"/>
  <c r="J36" i="3"/>
  <c r="K36" i="3"/>
  <c r="L36" i="3"/>
  <c r="E37" i="3"/>
  <c r="F37" i="3"/>
  <c r="G37" i="3"/>
  <c r="H37" i="3"/>
  <c r="I37" i="3"/>
  <c r="J37" i="3"/>
  <c r="K37" i="3"/>
  <c r="L37" i="3"/>
  <c r="E38" i="3"/>
  <c r="F38" i="3"/>
  <c r="G38" i="3"/>
  <c r="H38" i="3"/>
  <c r="I38" i="3"/>
  <c r="J38" i="3"/>
  <c r="K38" i="3"/>
  <c r="L38" i="3"/>
  <c r="E39" i="3"/>
  <c r="F39" i="3"/>
  <c r="G39" i="3"/>
  <c r="H39" i="3"/>
  <c r="I39" i="3"/>
  <c r="J39" i="3"/>
  <c r="K39" i="3"/>
  <c r="L39" i="3"/>
  <c r="F23" i="3"/>
  <c r="G23" i="3"/>
  <c r="H23" i="3"/>
  <c r="I23" i="3"/>
  <c r="J23" i="3"/>
  <c r="K23" i="3"/>
  <c r="L23" i="3"/>
  <c r="B13" i="6"/>
  <c r="B12" i="2"/>
  <c r="I11" i="6" l="1"/>
  <c r="E33" i="2"/>
  <c r="E22" i="2"/>
  <c r="B26" i="9"/>
  <c r="B27" i="9"/>
  <c r="B31" i="9"/>
  <c r="B35" i="9"/>
  <c r="B39" i="9"/>
  <c r="B43" i="9"/>
  <c r="B47" i="9"/>
  <c r="B51" i="9"/>
  <c r="B55" i="9"/>
  <c r="B59" i="9"/>
  <c r="B63" i="9"/>
  <c r="B67" i="9"/>
  <c r="B71" i="9"/>
  <c r="B75" i="9"/>
  <c r="B79" i="9"/>
  <c r="B83" i="9"/>
  <c r="B87" i="9"/>
  <c r="B91" i="9"/>
  <c r="B95" i="9"/>
  <c r="B99" i="9"/>
  <c r="B103" i="9"/>
  <c r="B107" i="9"/>
  <c r="B111" i="9"/>
  <c r="B115" i="9"/>
  <c r="B119" i="9"/>
  <c r="B123" i="9"/>
  <c r="B127" i="9"/>
  <c r="B131" i="9"/>
  <c r="B135" i="9"/>
  <c r="B139" i="9"/>
  <c r="B143" i="9"/>
  <c r="B147" i="9"/>
  <c r="B151" i="9"/>
  <c r="B155" i="9"/>
  <c r="B159" i="9"/>
  <c r="B163" i="9"/>
  <c r="B167" i="9"/>
  <c r="B171" i="9"/>
  <c r="B175" i="9"/>
  <c r="B179" i="9"/>
  <c r="B183" i="9"/>
  <c r="B187" i="9"/>
  <c r="B191" i="9"/>
  <c r="B195" i="9"/>
  <c r="B199" i="9"/>
  <c r="B203" i="9"/>
  <c r="B207" i="9"/>
  <c r="B211" i="9"/>
  <c r="B215" i="9"/>
  <c r="B219" i="9"/>
  <c r="B223" i="9"/>
  <c r="B227" i="9"/>
  <c r="B231" i="9"/>
  <c r="B235" i="9"/>
  <c r="B239" i="9"/>
  <c r="B243" i="9"/>
  <c r="B247" i="9"/>
  <c r="B251" i="9"/>
  <c r="B255" i="9"/>
  <c r="B259" i="9"/>
  <c r="B263" i="9"/>
  <c r="B267" i="9"/>
  <c r="B271" i="9"/>
  <c r="B275" i="9"/>
  <c r="B279" i="9"/>
  <c r="B283" i="9"/>
  <c r="B287" i="9"/>
  <c r="B291" i="9"/>
  <c r="B295" i="9"/>
  <c r="B299" i="9"/>
  <c r="B303" i="9"/>
  <c r="B307" i="9"/>
  <c r="B311" i="9"/>
  <c r="B315" i="9"/>
  <c r="B319" i="9"/>
  <c r="B323" i="9"/>
  <c r="B327" i="9"/>
  <c r="B331" i="9"/>
  <c r="B335" i="9"/>
  <c r="B339" i="9"/>
  <c r="B343" i="9"/>
  <c r="B347" i="9"/>
  <c r="B351" i="9"/>
  <c r="B355" i="9"/>
  <c r="B359" i="9"/>
  <c r="B28" i="9"/>
  <c r="B32" i="9"/>
  <c r="B36" i="9"/>
  <c r="B40" i="9"/>
  <c r="B44" i="9"/>
  <c r="B48" i="9"/>
  <c r="B52" i="9"/>
  <c r="B56" i="9"/>
  <c r="B60" i="9"/>
  <c r="B64" i="9"/>
  <c r="B68" i="9"/>
  <c r="B72" i="9"/>
  <c r="B76" i="9"/>
  <c r="B80" i="9"/>
  <c r="B84" i="9"/>
  <c r="B88" i="9"/>
  <c r="B92" i="9"/>
  <c r="B96" i="9"/>
  <c r="B100" i="9"/>
  <c r="B104" i="9"/>
  <c r="B108" i="9"/>
  <c r="B112" i="9"/>
  <c r="B116" i="9"/>
  <c r="B120" i="9"/>
  <c r="B124" i="9"/>
  <c r="B128" i="9"/>
  <c r="B132" i="9"/>
  <c r="B136" i="9"/>
  <c r="B140" i="9"/>
  <c r="B144" i="9"/>
  <c r="B148" i="9"/>
  <c r="B152" i="9"/>
  <c r="B156" i="9"/>
  <c r="B160" i="9"/>
  <c r="B164" i="9"/>
  <c r="B168" i="9"/>
  <c r="B172" i="9"/>
  <c r="B176" i="9"/>
  <c r="B180" i="9"/>
  <c r="B184" i="9"/>
  <c r="B188" i="9"/>
  <c r="B192" i="9"/>
  <c r="B196" i="9"/>
  <c r="B200" i="9"/>
  <c r="B204" i="9"/>
  <c r="B208" i="9"/>
  <c r="B212" i="9"/>
  <c r="B216" i="9"/>
  <c r="B220" i="9"/>
  <c r="B224" i="9"/>
  <c r="B228" i="9"/>
  <c r="B232" i="9"/>
  <c r="B236" i="9"/>
  <c r="B240" i="9"/>
  <c r="B244" i="9"/>
  <c r="B248" i="9"/>
  <c r="B252" i="9"/>
  <c r="B256" i="9"/>
  <c r="B260" i="9"/>
  <c r="B264" i="9"/>
  <c r="B268" i="9"/>
  <c r="B272" i="9"/>
  <c r="B276" i="9"/>
  <c r="B280" i="9"/>
  <c r="B284" i="9"/>
  <c r="B288" i="9"/>
  <c r="B292" i="9"/>
  <c r="B296" i="9"/>
  <c r="B300" i="9"/>
  <c r="B304" i="9"/>
  <c r="B308" i="9"/>
  <c r="B312" i="9"/>
  <c r="B316" i="9"/>
  <c r="B320" i="9"/>
  <c r="B324" i="9"/>
  <c r="B328" i="9"/>
  <c r="B332" i="9"/>
  <c r="B336" i="9"/>
  <c r="B340" i="9"/>
  <c r="B344" i="9"/>
  <c r="B348" i="9"/>
  <c r="B352" i="9"/>
  <c r="B356" i="9"/>
  <c r="B360" i="9"/>
  <c r="B33" i="9"/>
  <c r="B41" i="9"/>
  <c r="B49" i="9"/>
  <c r="B57" i="9"/>
  <c r="B65" i="9"/>
  <c r="B73" i="9"/>
  <c r="B81" i="9"/>
  <c r="B89" i="9"/>
  <c r="B97" i="9"/>
  <c r="B105" i="9"/>
  <c r="B113" i="9"/>
  <c r="B121" i="9"/>
  <c r="B129" i="9"/>
  <c r="B137" i="9"/>
  <c r="B145" i="9"/>
  <c r="B153" i="9"/>
  <c r="B161" i="9"/>
  <c r="B169" i="9"/>
  <c r="B177" i="9"/>
  <c r="B185" i="9"/>
  <c r="B193" i="9"/>
  <c r="B201" i="9"/>
  <c r="B209" i="9"/>
  <c r="B217" i="9"/>
  <c r="B225" i="9"/>
  <c r="B233" i="9"/>
  <c r="B241" i="9"/>
  <c r="B249" i="9"/>
  <c r="B257" i="9"/>
  <c r="B265" i="9"/>
  <c r="B273" i="9"/>
  <c r="B281" i="9"/>
  <c r="B289" i="9"/>
  <c r="B297" i="9"/>
  <c r="B305" i="9"/>
  <c r="B313" i="9"/>
  <c r="B321" i="9"/>
  <c r="B329" i="9"/>
  <c r="B337" i="9"/>
  <c r="B345" i="9"/>
  <c r="B353" i="9"/>
  <c r="B361" i="9"/>
  <c r="B365" i="9"/>
  <c r="B369" i="9"/>
  <c r="B21" i="9"/>
  <c r="B22" i="9"/>
  <c r="B14" i="9"/>
  <c r="B18" i="9"/>
  <c r="B34" i="9"/>
  <c r="B42" i="9"/>
  <c r="B50" i="9"/>
  <c r="B58" i="9"/>
  <c r="B66" i="9"/>
  <c r="B74" i="9"/>
  <c r="B82" i="9"/>
  <c r="B90" i="9"/>
  <c r="B98" i="9"/>
  <c r="B106" i="9"/>
  <c r="B114" i="9"/>
  <c r="B122" i="9"/>
  <c r="B130" i="9"/>
  <c r="B138" i="9"/>
  <c r="B146" i="9"/>
  <c r="B154" i="9"/>
  <c r="B162" i="9"/>
  <c r="B170" i="9"/>
  <c r="B178" i="9"/>
  <c r="B186" i="9"/>
  <c r="B194" i="9"/>
  <c r="B202" i="9"/>
  <c r="B210" i="9"/>
  <c r="B218" i="9"/>
  <c r="B226" i="9"/>
  <c r="B234" i="9"/>
  <c r="B242" i="9"/>
  <c r="B250" i="9"/>
  <c r="B258" i="9"/>
  <c r="B266" i="9"/>
  <c r="B274" i="9"/>
  <c r="B282" i="9"/>
  <c r="B290" i="9"/>
  <c r="B298" i="9"/>
  <c r="B306" i="9"/>
  <c r="B314" i="9"/>
  <c r="B322" i="9"/>
  <c r="B330" i="9"/>
  <c r="B338" i="9"/>
  <c r="B346" i="9"/>
  <c r="B354" i="9"/>
  <c r="B362" i="9"/>
  <c r="B366" i="9"/>
  <c r="B370" i="9"/>
  <c r="B23" i="9"/>
  <c r="B15" i="9"/>
  <c r="B19" i="9"/>
  <c r="B29" i="9"/>
  <c r="B37" i="9"/>
  <c r="B45" i="9"/>
  <c r="B53" i="9"/>
  <c r="B61" i="9"/>
  <c r="B69" i="9"/>
  <c r="B77" i="9"/>
  <c r="B85" i="9"/>
  <c r="B93" i="9"/>
  <c r="B101" i="9"/>
  <c r="B109" i="9"/>
  <c r="B117" i="9"/>
  <c r="B125" i="9"/>
  <c r="B133" i="9"/>
  <c r="B141" i="9"/>
  <c r="B149" i="9"/>
  <c r="B157" i="9"/>
  <c r="B165" i="9"/>
  <c r="B173" i="9"/>
  <c r="B181" i="9"/>
  <c r="B189" i="9"/>
  <c r="B197" i="9"/>
  <c r="B205" i="9"/>
  <c r="B213" i="9"/>
  <c r="B221" i="9"/>
  <c r="B229" i="9"/>
  <c r="B237" i="9"/>
  <c r="B245" i="9"/>
  <c r="B253" i="9"/>
  <c r="B261" i="9"/>
  <c r="B269" i="9"/>
  <c r="B277" i="9"/>
  <c r="B285" i="9"/>
  <c r="B293" i="9"/>
  <c r="B301" i="9"/>
  <c r="B309" i="9"/>
  <c r="B317" i="9"/>
  <c r="B325" i="9"/>
  <c r="B333" i="9"/>
  <c r="B341" i="9"/>
  <c r="B349" i="9"/>
  <c r="B357" i="9"/>
  <c r="B363" i="9"/>
  <c r="B367" i="9"/>
  <c r="B371" i="9"/>
  <c r="B24" i="9"/>
  <c r="B16" i="9"/>
  <c r="B20" i="9"/>
  <c r="B30" i="9"/>
  <c r="B38" i="9"/>
  <c r="B46" i="9"/>
  <c r="B54" i="9"/>
  <c r="B62" i="9"/>
  <c r="B70" i="9"/>
  <c r="B78" i="9"/>
  <c r="B86" i="9"/>
  <c r="B94" i="9"/>
  <c r="B102" i="9"/>
  <c r="B110" i="9"/>
  <c r="B118" i="9"/>
  <c r="B126" i="9"/>
  <c r="B134" i="9"/>
  <c r="B142" i="9"/>
  <c r="B150" i="9"/>
  <c r="B158" i="9"/>
  <c r="B166" i="9"/>
  <c r="B174" i="9"/>
  <c r="B182" i="9"/>
  <c r="B190" i="9"/>
  <c r="B198" i="9"/>
  <c r="B230" i="9"/>
  <c r="B262" i="9"/>
  <c r="B294" i="9"/>
  <c r="B326" i="9"/>
  <c r="B358" i="9"/>
  <c r="B206" i="9"/>
  <c r="B238" i="9"/>
  <c r="B270" i="9"/>
  <c r="B302" i="9"/>
  <c r="B334" i="9"/>
  <c r="B364" i="9"/>
  <c r="B25" i="9"/>
  <c r="B214" i="9"/>
  <c r="B246" i="9"/>
  <c r="B278" i="9"/>
  <c r="B310" i="9"/>
  <c r="B342" i="9"/>
  <c r="B368" i="9"/>
  <c r="B17" i="9"/>
  <c r="B222" i="9"/>
  <c r="B254" i="9"/>
  <c r="B286" i="9"/>
  <c r="B318" i="9"/>
  <c r="B350" i="9"/>
  <c r="B372" i="9"/>
  <c r="B13" i="9"/>
  <c r="H11" i="6"/>
  <c r="E13" i="1"/>
  <c r="D13" i="1"/>
  <c r="C13" i="1"/>
  <c r="E11" i="1"/>
  <c r="D10" i="1"/>
  <c r="D12" i="1" s="1"/>
  <c r="E10" i="1"/>
  <c r="C10" i="1"/>
  <c r="C12" i="1" s="1"/>
  <c r="B13" i="3"/>
  <c r="F13" i="6" l="1"/>
  <c r="C14" i="1"/>
  <c r="E12" i="1"/>
  <c r="E14" i="1" s="1"/>
  <c r="D13" i="9"/>
  <c r="E13" i="9" s="1"/>
  <c r="D14" i="1"/>
  <c r="E5" i="3"/>
  <c r="E4" i="2"/>
  <c r="C15" i="1" l="1"/>
  <c r="C14" i="9"/>
  <c r="D14" i="9" s="1"/>
  <c r="E14" i="9" s="1"/>
  <c r="C15" i="9" s="1"/>
  <c r="D15" i="9" s="1"/>
  <c r="E15" i="9" s="1"/>
  <c r="C16" i="9" l="1"/>
  <c r="D16" i="9" s="1"/>
  <c r="E16" i="9" s="1"/>
  <c r="C17" i="9" l="1"/>
  <c r="D17" i="9" s="1"/>
  <c r="E17" i="9" s="1"/>
  <c r="C18" i="9" l="1"/>
  <c r="D18" i="9" s="1"/>
  <c r="E18" i="9" s="1"/>
  <c r="C19" i="9" l="1"/>
  <c r="D19" i="9" s="1"/>
  <c r="E19" i="9" s="1"/>
  <c r="C20" i="9" l="1"/>
  <c r="D20" i="9" s="1"/>
  <c r="E20" i="9" s="1"/>
  <c r="C21" i="9" l="1"/>
  <c r="D21" i="9" s="1"/>
  <c r="E21" i="9" s="1"/>
  <c r="C22" i="9" s="1"/>
  <c r="D22" i="9" s="1"/>
  <c r="E22" i="9" s="1"/>
  <c r="C23" i="9" l="1"/>
  <c r="D23" i="9" s="1"/>
  <c r="E23" i="9" s="1"/>
  <c r="C24" i="9" s="1"/>
  <c r="D24" i="9" s="1"/>
  <c r="E24" i="9" s="1"/>
  <c r="C25" i="9" l="1"/>
  <c r="D25" i="9" s="1"/>
  <c r="E25" i="9" s="1"/>
  <c r="C26" i="9" l="1"/>
  <c r="D26" i="9" s="1"/>
  <c r="E26" i="9" s="1"/>
  <c r="C27" i="9" l="1"/>
  <c r="D27" i="9" s="1"/>
  <c r="E27" i="9" s="1"/>
  <c r="C28" i="9" l="1"/>
  <c r="D28" i="9" s="1"/>
  <c r="E28" i="9" s="1"/>
  <c r="C29" i="9" s="1"/>
  <c r="D29" i="9" s="1"/>
  <c r="E29" i="9" s="1"/>
  <c r="C30" i="9" l="1"/>
  <c r="D30" i="9" s="1"/>
  <c r="E30" i="9" s="1"/>
  <c r="C31" i="9" l="1"/>
  <c r="D31" i="9" s="1"/>
  <c r="E31" i="9" s="1"/>
  <c r="C32" i="9" l="1"/>
  <c r="D32" i="9" s="1"/>
  <c r="E32" i="9" s="1"/>
  <c r="C33" i="9" s="1"/>
  <c r="D33" i="9" s="1"/>
  <c r="E33" i="9" s="1"/>
  <c r="C34" i="9" l="1"/>
  <c r="D34" i="9" s="1"/>
  <c r="E34" i="9" s="1"/>
  <c r="C35" i="9" l="1"/>
  <c r="D35" i="9" s="1"/>
  <c r="E35" i="9" s="1"/>
  <c r="C36" i="9" l="1"/>
  <c r="D36" i="9" s="1"/>
  <c r="E36" i="9" s="1"/>
  <c r="C37" i="9" l="1"/>
  <c r="D37" i="9" s="1"/>
  <c r="E37" i="9" s="1"/>
  <c r="C38" i="9" l="1"/>
  <c r="D38" i="9" s="1"/>
  <c r="E38" i="9" s="1"/>
  <c r="C39" i="9" l="1"/>
  <c r="D39" i="9" s="1"/>
  <c r="E39" i="9" s="1"/>
  <c r="C40" i="9" l="1"/>
  <c r="D40" i="9" s="1"/>
  <c r="E40" i="9" s="1"/>
  <c r="C41" i="9" l="1"/>
  <c r="D41" i="9" s="1"/>
  <c r="E41" i="9" s="1"/>
  <c r="C42" i="9" l="1"/>
  <c r="D42" i="9" s="1"/>
  <c r="E42" i="9" s="1"/>
  <c r="C43" i="9" l="1"/>
  <c r="D43" i="9" s="1"/>
  <c r="E43" i="9" s="1"/>
  <c r="C44" i="9" l="1"/>
  <c r="D44" i="9" s="1"/>
  <c r="E44" i="9" s="1"/>
  <c r="C45" i="9" l="1"/>
  <c r="D45" i="9" s="1"/>
  <c r="E45" i="9" s="1"/>
  <c r="C46" i="9" l="1"/>
  <c r="D46" i="9" s="1"/>
  <c r="E46" i="9" s="1"/>
  <c r="C47" i="9" l="1"/>
  <c r="D47" i="9" s="1"/>
  <c r="E47" i="9" s="1"/>
  <c r="C48" i="9" l="1"/>
  <c r="D48" i="9" s="1"/>
  <c r="E48" i="9" s="1"/>
  <c r="C49" i="9" l="1"/>
  <c r="D49" i="9" s="1"/>
  <c r="E49" i="9" s="1"/>
  <c r="C50" i="9" s="1"/>
  <c r="D50" i="9" s="1"/>
  <c r="E50" i="9" s="1"/>
  <c r="C51" i="9" l="1"/>
  <c r="D51" i="9" s="1"/>
  <c r="E51" i="9" s="1"/>
  <c r="C52" i="9" l="1"/>
  <c r="D52" i="9" s="1"/>
  <c r="E52" i="9" s="1"/>
  <c r="C53" i="9" l="1"/>
  <c r="D53" i="9" s="1"/>
  <c r="E53" i="9" s="1"/>
  <c r="C54" i="9" l="1"/>
  <c r="D54" i="9" s="1"/>
  <c r="E54" i="9" s="1"/>
  <c r="C55" i="9" s="1"/>
  <c r="D55" i="9" s="1"/>
  <c r="E55" i="9" s="1"/>
  <c r="C56" i="9" l="1"/>
  <c r="D56" i="9" s="1"/>
  <c r="E56" i="9" s="1"/>
  <c r="C57" i="9" l="1"/>
  <c r="D57" i="9" s="1"/>
  <c r="E57" i="9" s="1"/>
  <c r="C58" i="9" l="1"/>
  <c r="D58" i="9" s="1"/>
  <c r="E58" i="9" s="1"/>
  <c r="C59" i="9" l="1"/>
  <c r="D59" i="9" s="1"/>
  <c r="E59" i="9" s="1"/>
  <c r="C60" i="9" l="1"/>
  <c r="D60" i="9" s="1"/>
  <c r="E60" i="9" s="1"/>
  <c r="C61" i="9" l="1"/>
  <c r="D61" i="9" s="1"/>
  <c r="E61" i="9" s="1"/>
  <c r="C62" i="9" l="1"/>
  <c r="D62" i="9" s="1"/>
  <c r="E62" i="9" s="1"/>
  <c r="C63" i="9" l="1"/>
  <c r="D63" i="9" s="1"/>
  <c r="E63" i="9" s="1"/>
  <c r="C64" i="9" s="1"/>
  <c r="D64" i="9" s="1"/>
  <c r="E64" i="9" s="1"/>
  <c r="C65" i="9" s="1"/>
  <c r="D65" i="9" s="1"/>
  <c r="E65" i="9" s="1"/>
  <c r="C66" i="9" s="1"/>
  <c r="D66" i="9" s="1"/>
  <c r="E66" i="9" s="1"/>
  <c r="C67" i="9" s="1"/>
  <c r="D67" i="9" s="1"/>
  <c r="E67" i="9" s="1"/>
  <c r="C68" i="9" s="1"/>
  <c r="D68" i="9" s="1"/>
  <c r="E68" i="9" s="1"/>
  <c r="C69" i="9" l="1"/>
  <c r="D69" i="9" s="1"/>
  <c r="E69" i="9" s="1"/>
  <c r="C70" i="9" s="1"/>
  <c r="D70" i="9" s="1"/>
  <c r="E70" i="9" s="1"/>
  <c r="C71" i="9" s="1"/>
  <c r="D71" i="9" s="1"/>
  <c r="E71" i="9" s="1"/>
  <c r="C72" i="9" s="1"/>
  <c r="D72" i="9" s="1"/>
  <c r="E72" i="9" s="1"/>
  <c r="C73" i="9" s="1"/>
  <c r="D73" i="9" s="1"/>
  <c r="E73" i="9" s="1"/>
  <c r="C74" i="9" l="1"/>
  <c r="D74" i="9" s="1"/>
  <c r="E74" i="9" s="1"/>
  <c r="C75" i="9" l="1"/>
  <c r="D75" i="9" s="1"/>
  <c r="E75" i="9" s="1"/>
  <c r="C76" i="9" l="1"/>
  <c r="D76" i="9" s="1"/>
  <c r="E76" i="9" s="1"/>
  <c r="C77" i="9" l="1"/>
  <c r="D77" i="9" s="1"/>
  <c r="E77" i="9" s="1"/>
  <c r="C78" i="9" l="1"/>
  <c r="D78" i="9" s="1"/>
  <c r="E78" i="9" s="1"/>
  <c r="C79" i="9" l="1"/>
  <c r="D79" i="9" s="1"/>
  <c r="E79" i="9" s="1"/>
  <c r="C80" i="9" l="1"/>
  <c r="D80" i="9" s="1"/>
  <c r="E80" i="9" s="1"/>
  <c r="C81" i="9" l="1"/>
  <c r="D81" i="9" s="1"/>
  <c r="E81" i="9" s="1"/>
  <c r="C82" i="9" l="1"/>
  <c r="D82" i="9" s="1"/>
  <c r="E82" i="9" s="1"/>
  <c r="C83" i="9" l="1"/>
  <c r="D83" i="9" s="1"/>
  <c r="E83" i="9" s="1"/>
  <c r="C84" i="9" l="1"/>
  <c r="D84" i="9" s="1"/>
  <c r="E84" i="9" s="1"/>
  <c r="C85" i="9" l="1"/>
  <c r="D85" i="9" s="1"/>
  <c r="E85" i="9" s="1"/>
  <c r="C86" i="9" l="1"/>
  <c r="D86" i="9" s="1"/>
  <c r="E86" i="9" s="1"/>
  <c r="C87" i="9" l="1"/>
  <c r="D87" i="9" s="1"/>
  <c r="E87" i="9" s="1"/>
  <c r="C88" i="9" l="1"/>
  <c r="D88" i="9" s="1"/>
  <c r="E88" i="9" s="1"/>
  <c r="C89" i="9" l="1"/>
  <c r="D89" i="9" s="1"/>
  <c r="E89" i="9" s="1"/>
  <c r="C90" i="9" l="1"/>
  <c r="D90" i="9" s="1"/>
  <c r="E90" i="9" s="1"/>
  <c r="C91" i="9" l="1"/>
  <c r="D91" i="9" s="1"/>
  <c r="E91" i="9" s="1"/>
  <c r="C92" i="9" l="1"/>
  <c r="D92" i="9" s="1"/>
  <c r="E92" i="9" s="1"/>
  <c r="C93" i="9" l="1"/>
  <c r="D93" i="9" s="1"/>
  <c r="E93" i="9" s="1"/>
  <c r="C94" i="9" l="1"/>
  <c r="D94" i="9" s="1"/>
  <c r="E94" i="9" s="1"/>
  <c r="C95" i="9" l="1"/>
  <c r="D95" i="9" s="1"/>
  <c r="E95" i="9" s="1"/>
  <c r="C96" i="9" l="1"/>
  <c r="D96" i="9" s="1"/>
  <c r="E96" i="9" s="1"/>
  <c r="C97" i="9" l="1"/>
  <c r="D97" i="9" s="1"/>
  <c r="E97" i="9" s="1"/>
  <c r="C98" i="9" l="1"/>
  <c r="D98" i="9" s="1"/>
  <c r="E98" i="9" s="1"/>
  <c r="C99" i="9" l="1"/>
  <c r="D99" i="9" s="1"/>
  <c r="E99" i="9" s="1"/>
  <c r="C100" i="9" l="1"/>
  <c r="D100" i="9" s="1"/>
  <c r="E100" i="9" s="1"/>
  <c r="C101" i="9" l="1"/>
  <c r="D101" i="9" s="1"/>
  <c r="E101" i="9" s="1"/>
  <c r="C102" i="9" l="1"/>
  <c r="D102" i="9" s="1"/>
  <c r="E102" i="9" s="1"/>
  <c r="C103" i="9" l="1"/>
  <c r="D103" i="9" s="1"/>
  <c r="E103" i="9" s="1"/>
  <c r="C104" i="9" l="1"/>
  <c r="D104" i="9" s="1"/>
  <c r="E104" i="9" s="1"/>
  <c r="C105" i="9" l="1"/>
  <c r="D105" i="9" s="1"/>
  <c r="E105" i="9" s="1"/>
  <c r="C106" i="9" l="1"/>
  <c r="D106" i="9" s="1"/>
  <c r="E106" i="9" s="1"/>
  <c r="C107" i="9" l="1"/>
  <c r="D107" i="9" s="1"/>
  <c r="E107" i="9" s="1"/>
  <c r="C108" i="9" l="1"/>
  <c r="D108" i="9" s="1"/>
  <c r="E108" i="9" s="1"/>
  <c r="C109" i="9" l="1"/>
  <c r="D109" i="9" s="1"/>
  <c r="E109" i="9" s="1"/>
  <c r="C110" i="9" l="1"/>
  <c r="D110" i="9" s="1"/>
  <c r="E110" i="9" s="1"/>
  <c r="C111" i="9" l="1"/>
  <c r="D111" i="9" s="1"/>
  <c r="E111" i="9" s="1"/>
  <c r="C112" i="9" l="1"/>
  <c r="D112" i="9" s="1"/>
  <c r="E112" i="9" s="1"/>
  <c r="C113" i="9" l="1"/>
  <c r="D113" i="9" s="1"/>
  <c r="E113" i="9" s="1"/>
  <c r="C114" i="9" l="1"/>
  <c r="D114" i="9" s="1"/>
  <c r="E114" i="9" s="1"/>
  <c r="C115" i="9" l="1"/>
  <c r="D115" i="9" s="1"/>
  <c r="E115" i="9" s="1"/>
  <c r="C116" i="9" l="1"/>
  <c r="D116" i="9" s="1"/>
  <c r="E116" i="9" s="1"/>
  <c r="C117" i="9" l="1"/>
  <c r="D117" i="9" s="1"/>
  <c r="E117" i="9" s="1"/>
  <c r="C118" i="9" l="1"/>
  <c r="D118" i="9" s="1"/>
  <c r="E118" i="9" s="1"/>
  <c r="C119" i="9" l="1"/>
  <c r="D119" i="9" s="1"/>
  <c r="E119" i="9" s="1"/>
  <c r="C120" i="9" l="1"/>
  <c r="D120" i="9" s="1"/>
  <c r="E120" i="9" s="1"/>
  <c r="C121" i="9" l="1"/>
  <c r="D121" i="9" s="1"/>
  <c r="E121" i="9" s="1"/>
  <c r="C122" i="9" l="1"/>
  <c r="D122" i="9" s="1"/>
  <c r="E122" i="9" s="1"/>
  <c r="C123" i="9" l="1"/>
  <c r="D123" i="9" s="1"/>
  <c r="E123" i="9" s="1"/>
  <c r="C124" i="9" l="1"/>
  <c r="D124" i="9" s="1"/>
  <c r="E124" i="9" s="1"/>
  <c r="C125" i="9" l="1"/>
  <c r="D125" i="9" s="1"/>
  <c r="E125" i="9" s="1"/>
  <c r="C126" i="9" l="1"/>
  <c r="D126" i="9" s="1"/>
  <c r="E126" i="9" s="1"/>
  <c r="C127" i="9" l="1"/>
  <c r="D127" i="9" s="1"/>
  <c r="E127" i="9" s="1"/>
  <c r="C128" i="9" l="1"/>
  <c r="D128" i="9" s="1"/>
  <c r="E128" i="9" s="1"/>
  <c r="C129" i="9" l="1"/>
  <c r="D129" i="9" s="1"/>
  <c r="E129" i="9" s="1"/>
  <c r="C130" i="9" l="1"/>
  <c r="D130" i="9" s="1"/>
  <c r="E130" i="9" s="1"/>
  <c r="C131" i="9" l="1"/>
  <c r="D131" i="9" s="1"/>
  <c r="E131" i="9" s="1"/>
  <c r="C132" i="9" l="1"/>
  <c r="D132" i="9" s="1"/>
  <c r="E132" i="9" s="1"/>
  <c r="C133" i="9" l="1"/>
  <c r="D133" i="9" s="1"/>
  <c r="E133" i="9" s="1"/>
  <c r="C134" i="9" l="1"/>
  <c r="D134" i="9" s="1"/>
  <c r="E134" i="9" s="1"/>
  <c r="C135" i="9" l="1"/>
  <c r="D135" i="9" s="1"/>
  <c r="E135" i="9" s="1"/>
  <c r="C136" i="9" l="1"/>
  <c r="D136" i="9" s="1"/>
  <c r="E136" i="9" s="1"/>
  <c r="C137" i="9" l="1"/>
  <c r="D137" i="9" s="1"/>
  <c r="E137" i="9" s="1"/>
  <c r="C138" i="9" l="1"/>
  <c r="D138" i="9" s="1"/>
  <c r="E138" i="9" s="1"/>
  <c r="C139" i="9" l="1"/>
  <c r="D139" i="9" s="1"/>
  <c r="E139" i="9" s="1"/>
  <c r="C140" i="9" l="1"/>
  <c r="D140" i="9" s="1"/>
  <c r="E140" i="9" s="1"/>
  <c r="C141" i="9" l="1"/>
  <c r="D141" i="9" s="1"/>
  <c r="E141" i="9" s="1"/>
  <c r="C142" i="9" l="1"/>
  <c r="D142" i="9" s="1"/>
  <c r="E142" i="9" s="1"/>
  <c r="C143" i="9" l="1"/>
  <c r="D143" i="9" s="1"/>
  <c r="E143" i="9" s="1"/>
  <c r="C144" i="9" l="1"/>
  <c r="D144" i="9" s="1"/>
  <c r="E144" i="9" s="1"/>
  <c r="C145" i="9" l="1"/>
  <c r="D145" i="9" s="1"/>
  <c r="E145" i="9" s="1"/>
  <c r="C146" i="9" l="1"/>
  <c r="D146" i="9" s="1"/>
  <c r="E146" i="9" s="1"/>
  <c r="C147" i="9" l="1"/>
  <c r="D147" i="9" s="1"/>
  <c r="E147" i="9" s="1"/>
  <c r="C148" i="9" l="1"/>
  <c r="D148" i="9" s="1"/>
  <c r="E148" i="9" s="1"/>
  <c r="C149" i="9" l="1"/>
  <c r="D149" i="9" s="1"/>
  <c r="E149" i="9" s="1"/>
  <c r="C150" i="9" l="1"/>
  <c r="D150" i="9" s="1"/>
  <c r="E150" i="9" s="1"/>
  <c r="C151" i="9" l="1"/>
  <c r="D151" i="9" s="1"/>
  <c r="E151" i="9" s="1"/>
  <c r="C152" i="9" l="1"/>
  <c r="D152" i="9" s="1"/>
  <c r="E152" i="9" s="1"/>
  <c r="C153" i="9" l="1"/>
  <c r="D153" i="9" s="1"/>
  <c r="E153" i="9" s="1"/>
  <c r="C154" i="9" l="1"/>
  <c r="D154" i="9" s="1"/>
  <c r="E154" i="9" s="1"/>
  <c r="C155" i="9" l="1"/>
  <c r="D155" i="9" s="1"/>
  <c r="E155" i="9" s="1"/>
  <c r="C156" i="9" l="1"/>
  <c r="D156" i="9" s="1"/>
  <c r="E156" i="9" s="1"/>
  <c r="C157" i="9" l="1"/>
  <c r="D157" i="9" s="1"/>
  <c r="E157" i="9" s="1"/>
  <c r="C158" i="9" l="1"/>
  <c r="D158" i="9" s="1"/>
  <c r="E158" i="9" s="1"/>
  <c r="C159" i="9" l="1"/>
  <c r="D159" i="9" s="1"/>
  <c r="E159" i="9" s="1"/>
  <c r="C160" i="9" l="1"/>
  <c r="D160" i="9" s="1"/>
  <c r="E160" i="9" s="1"/>
  <c r="C161" i="9" l="1"/>
  <c r="D161" i="9" s="1"/>
  <c r="E161" i="9" s="1"/>
  <c r="C162" i="9" l="1"/>
  <c r="D162" i="9" s="1"/>
  <c r="E162" i="9" s="1"/>
  <c r="C163" i="9" l="1"/>
  <c r="D163" i="9" s="1"/>
  <c r="E163" i="9" s="1"/>
  <c r="C164" i="9" l="1"/>
  <c r="D164" i="9" s="1"/>
  <c r="E164" i="9" s="1"/>
  <c r="C165" i="9" l="1"/>
  <c r="D165" i="9" s="1"/>
  <c r="E165" i="9" s="1"/>
  <c r="C166" i="9" l="1"/>
  <c r="D166" i="9" s="1"/>
  <c r="E166" i="9" s="1"/>
  <c r="C167" i="9" l="1"/>
  <c r="D167" i="9" s="1"/>
  <c r="E167" i="9" s="1"/>
  <c r="C168" i="9" l="1"/>
  <c r="D168" i="9" s="1"/>
  <c r="E168" i="9" s="1"/>
  <c r="C169" i="9" l="1"/>
  <c r="D169" i="9" s="1"/>
  <c r="E169" i="9" s="1"/>
  <c r="C170" i="9" l="1"/>
  <c r="D170" i="9" s="1"/>
  <c r="E170" i="9" s="1"/>
  <c r="C171" i="9" l="1"/>
  <c r="D171" i="9" s="1"/>
  <c r="E171" i="9" s="1"/>
  <c r="C172" i="9" l="1"/>
  <c r="D172" i="9" s="1"/>
  <c r="E172" i="9" s="1"/>
  <c r="C173" i="9" l="1"/>
  <c r="D173" i="9" s="1"/>
  <c r="E173" i="9" s="1"/>
  <c r="C174" i="9" l="1"/>
  <c r="D174" i="9" s="1"/>
  <c r="E174" i="9" s="1"/>
  <c r="C175" i="9" l="1"/>
  <c r="D175" i="9" s="1"/>
  <c r="E175" i="9" s="1"/>
  <c r="C176" i="9" l="1"/>
  <c r="D176" i="9" s="1"/>
  <c r="E176" i="9" s="1"/>
  <c r="C177" i="9" l="1"/>
  <c r="D177" i="9" s="1"/>
  <c r="E177" i="9" s="1"/>
  <c r="C178" i="9" l="1"/>
  <c r="D178" i="9" s="1"/>
  <c r="E178" i="9" s="1"/>
  <c r="C179" i="9" l="1"/>
  <c r="D179" i="9" s="1"/>
  <c r="E179" i="9" s="1"/>
  <c r="C180" i="9" l="1"/>
  <c r="D180" i="9" s="1"/>
  <c r="E180" i="9" s="1"/>
  <c r="C181" i="9" l="1"/>
  <c r="D181" i="9" s="1"/>
  <c r="E181" i="9" s="1"/>
  <c r="C182" i="9" l="1"/>
  <c r="D182" i="9" s="1"/>
  <c r="E182" i="9" s="1"/>
  <c r="C183" i="9" l="1"/>
  <c r="D183" i="9" s="1"/>
  <c r="E183" i="9" s="1"/>
  <c r="C184" i="9" l="1"/>
  <c r="D184" i="9" s="1"/>
  <c r="E184" i="9" s="1"/>
  <c r="C185" i="9" l="1"/>
  <c r="D185" i="9" s="1"/>
  <c r="E185" i="9" s="1"/>
  <c r="C186" i="9" l="1"/>
  <c r="D186" i="9" s="1"/>
  <c r="E186" i="9" s="1"/>
  <c r="C187" i="9" l="1"/>
  <c r="D187" i="9" s="1"/>
  <c r="E187" i="9" s="1"/>
  <c r="C188" i="9" l="1"/>
  <c r="D188" i="9" s="1"/>
  <c r="E188" i="9" s="1"/>
  <c r="C189" i="9" l="1"/>
  <c r="D189" i="9" s="1"/>
  <c r="E189" i="9" s="1"/>
  <c r="C190" i="9" l="1"/>
  <c r="D190" i="9" s="1"/>
  <c r="E190" i="9" s="1"/>
  <c r="C191" i="9" l="1"/>
  <c r="D191" i="9" s="1"/>
  <c r="E191" i="9" s="1"/>
  <c r="C192" i="9" l="1"/>
  <c r="D192" i="9" s="1"/>
  <c r="E192" i="9" s="1"/>
  <c r="C193" i="9" l="1"/>
  <c r="D193" i="9" s="1"/>
  <c r="E193" i="9" s="1"/>
  <c r="C194" i="9" l="1"/>
  <c r="D194" i="9" s="1"/>
  <c r="E194" i="9" s="1"/>
  <c r="C195" i="9" l="1"/>
  <c r="D195" i="9" s="1"/>
  <c r="E195" i="9" s="1"/>
  <c r="C196" i="9" l="1"/>
  <c r="D196" i="9" s="1"/>
  <c r="E196" i="9" s="1"/>
  <c r="C197" i="9" l="1"/>
  <c r="D197" i="9" s="1"/>
  <c r="E197" i="9" s="1"/>
  <c r="C198" i="9" l="1"/>
  <c r="D198" i="9" s="1"/>
  <c r="E198" i="9" s="1"/>
  <c r="C199" i="9" l="1"/>
  <c r="D199" i="9" s="1"/>
  <c r="E199" i="9" s="1"/>
  <c r="C200" i="9" l="1"/>
  <c r="D200" i="9" s="1"/>
  <c r="E200" i="9" s="1"/>
  <c r="C201" i="9" l="1"/>
  <c r="D201" i="9" s="1"/>
  <c r="E201" i="9" s="1"/>
  <c r="C202" i="9" l="1"/>
  <c r="D202" i="9" s="1"/>
  <c r="E202" i="9" s="1"/>
  <c r="C203" i="9" l="1"/>
  <c r="D203" i="9" s="1"/>
  <c r="E203" i="9" s="1"/>
  <c r="C204" i="9" l="1"/>
  <c r="D204" i="9" s="1"/>
  <c r="E204" i="9" s="1"/>
  <c r="C205" i="9" l="1"/>
  <c r="D205" i="9" s="1"/>
  <c r="E205" i="9" s="1"/>
  <c r="C206" i="9" l="1"/>
  <c r="D206" i="9" s="1"/>
  <c r="E206" i="9" s="1"/>
  <c r="C207" i="9" l="1"/>
  <c r="D207" i="9" s="1"/>
  <c r="E207" i="9" s="1"/>
  <c r="C208" i="9" l="1"/>
  <c r="D208" i="9" s="1"/>
  <c r="E208" i="9" s="1"/>
  <c r="C209" i="9" l="1"/>
  <c r="D209" i="9" s="1"/>
  <c r="E209" i="9" s="1"/>
  <c r="C210" i="9" l="1"/>
  <c r="D210" i="9" s="1"/>
  <c r="E210" i="9" s="1"/>
  <c r="C211" i="9" l="1"/>
  <c r="D211" i="9" s="1"/>
  <c r="E211" i="9" s="1"/>
  <c r="C212" i="9" l="1"/>
  <c r="D212" i="9" s="1"/>
  <c r="E212" i="9" s="1"/>
  <c r="C213" i="9" l="1"/>
  <c r="D213" i="9" s="1"/>
  <c r="E213" i="9" s="1"/>
  <c r="C214" i="9" l="1"/>
  <c r="D214" i="9" s="1"/>
  <c r="E214" i="9" s="1"/>
  <c r="C215" i="9" l="1"/>
  <c r="D215" i="9" s="1"/>
  <c r="E215" i="9" s="1"/>
  <c r="C216" i="9" l="1"/>
  <c r="D216" i="9" s="1"/>
  <c r="E216" i="9" s="1"/>
  <c r="C217" i="9" l="1"/>
  <c r="D217" i="9" s="1"/>
  <c r="E217" i="9" s="1"/>
  <c r="C218" i="9" l="1"/>
  <c r="D218" i="9" s="1"/>
  <c r="E218" i="9" s="1"/>
  <c r="C219" i="9" l="1"/>
  <c r="D219" i="9" s="1"/>
  <c r="E219" i="9" s="1"/>
  <c r="C220" i="9" l="1"/>
  <c r="D220" i="9" s="1"/>
  <c r="E220" i="9" s="1"/>
  <c r="C221" i="9" l="1"/>
  <c r="D221" i="9" s="1"/>
  <c r="E221" i="9" s="1"/>
  <c r="C222" i="9" l="1"/>
  <c r="D222" i="9" s="1"/>
  <c r="E222" i="9" s="1"/>
  <c r="C223" i="9" l="1"/>
  <c r="D223" i="9" s="1"/>
  <c r="E223" i="9" s="1"/>
  <c r="C224" i="9" l="1"/>
  <c r="D224" i="9" s="1"/>
  <c r="E224" i="9" s="1"/>
  <c r="C225" i="9" l="1"/>
  <c r="D225" i="9" s="1"/>
  <c r="E225" i="9" s="1"/>
  <c r="C226" i="9" l="1"/>
  <c r="D226" i="9" s="1"/>
  <c r="E226" i="9" s="1"/>
  <c r="C227" i="9" l="1"/>
  <c r="D227" i="9" s="1"/>
  <c r="E227" i="9" s="1"/>
  <c r="C228" i="9" l="1"/>
  <c r="D228" i="9" s="1"/>
  <c r="E228" i="9" s="1"/>
  <c r="C229" i="9" l="1"/>
  <c r="D229" i="9" s="1"/>
  <c r="E229" i="9" s="1"/>
  <c r="C230" i="9" l="1"/>
  <c r="D230" i="9" s="1"/>
  <c r="E230" i="9" s="1"/>
  <c r="C231" i="9" l="1"/>
  <c r="D231" i="9" s="1"/>
  <c r="E231" i="9" s="1"/>
  <c r="C232" i="9" l="1"/>
  <c r="D232" i="9" s="1"/>
  <c r="E232" i="9" s="1"/>
  <c r="C233" i="9" l="1"/>
  <c r="D233" i="9" s="1"/>
  <c r="E233" i="9" s="1"/>
  <c r="C234" i="9" l="1"/>
  <c r="D234" i="9" s="1"/>
  <c r="E234" i="9" s="1"/>
  <c r="C235" i="9" l="1"/>
  <c r="D235" i="9" s="1"/>
  <c r="E235" i="9" s="1"/>
  <c r="C236" i="9" l="1"/>
  <c r="D236" i="9" s="1"/>
  <c r="E236" i="9" s="1"/>
  <c r="C237" i="9" l="1"/>
  <c r="D237" i="9" s="1"/>
  <c r="E237" i="9" s="1"/>
  <c r="C238" i="9" l="1"/>
  <c r="D238" i="9" s="1"/>
  <c r="E238" i="9" s="1"/>
  <c r="C239" i="9" l="1"/>
  <c r="D239" i="9" s="1"/>
  <c r="E239" i="9" s="1"/>
  <c r="C240" i="9" l="1"/>
  <c r="D240" i="9" s="1"/>
  <c r="E240" i="9" s="1"/>
  <c r="C241" i="9" l="1"/>
  <c r="D241" i="9" s="1"/>
  <c r="E241" i="9" s="1"/>
  <c r="C242" i="9" l="1"/>
  <c r="D242" i="9" s="1"/>
  <c r="E242" i="9" s="1"/>
  <c r="C243" i="9" l="1"/>
  <c r="D243" i="9" s="1"/>
  <c r="E243" i="9" s="1"/>
  <c r="C244" i="9" l="1"/>
  <c r="D244" i="9" s="1"/>
  <c r="E244" i="9" s="1"/>
  <c r="C245" i="9" l="1"/>
  <c r="D245" i="9" s="1"/>
  <c r="E245" i="9" s="1"/>
  <c r="C246" i="9" l="1"/>
  <c r="D246" i="9" s="1"/>
  <c r="E246" i="9" s="1"/>
  <c r="C247" i="9" l="1"/>
  <c r="D247" i="9" s="1"/>
  <c r="E247" i="9" s="1"/>
  <c r="C248" i="9" l="1"/>
  <c r="D248" i="9" s="1"/>
  <c r="E248" i="9" s="1"/>
  <c r="C249" i="9" l="1"/>
  <c r="D249" i="9" s="1"/>
  <c r="E249" i="9" s="1"/>
  <c r="C250" i="9" l="1"/>
  <c r="D250" i="9" s="1"/>
  <c r="E250" i="9" s="1"/>
  <c r="C251" i="9" l="1"/>
  <c r="D251" i="9" s="1"/>
  <c r="E251" i="9" s="1"/>
  <c r="C252" i="9" l="1"/>
  <c r="D252" i="9" s="1"/>
  <c r="E252" i="9" s="1"/>
  <c r="C253" i="9" l="1"/>
  <c r="D253" i="9" s="1"/>
  <c r="E253" i="9" s="1"/>
  <c r="C254" i="9" l="1"/>
  <c r="D254" i="9" s="1"/>
  <c r="E254" i="9" s="1"/>
  <c r="C255" i="9" l="1"/>
  <c r="D255" i="9" s="1"/>
  <c r="E255" i="9" s="1"/>
  <c r="C256" i="9" l="1"/>
  <c r="D256" i="9" s="1"/>
  <c r="E256" i="9" s="1"/>
  <c r="C257" i="9" l="1"/>
  <c r="D257" i="9" s="1"/>
  <c r="E257" i="9" s="1"/>
  <c r="C258" i="9" l="1"/>
  <c r="D258" i="9" s="1"/>
  <c r="E258" i="9" s="1"/>
  <c r="C259" i="9" l="1"/>
  <c r="D259" i="9" s="1"/>
  <c r="E259" i="9" s="1"/>
  <c r="C260" i="9" l="1"/>
  <c r="D260" i="9" s="1"/>
  <c r="E260" i="9" s="1"/>
  <c r="C261" i="9" l="1"/>
  <c r="D261" i="9" s="1"/>
  <c r="E261" i="9" s="1"/>
  <c r="C262" i="9" l="1"/>
  <c r="D262" i="9" s="1"/>
  <c r="E262" i="9" s="1"/>
  <c r="C263" i="9" l="1"/>
  <c r="D263" i="9" s="1"/>
  <c r="E263" i="9" s="1"/>
  <c r="C264" i="9" l="1"/>
  <c r="D264" i="9" s="1"/>
  <c r="E264" i="9" s="1"/>
  <c r="C265" i="9" l="1"/>
  <c r="D265" i="9" s="1"/>
  <c r="E265" i="9" s="1"/>
  <c r="C266" i="9" l="1"/>
  <c r="D266" i="9" s="1"/>
  <c r="E266" i="9" s="1"/>
  <c r="C267" i="9" l="1"/>
  <c r="D267" i="9" s="1"/>
  <c r="E267" i="9" s="1"/>
  <c r="C268" i="9" l="1"/>
  <c r="D268" i="9" s="1"/>
  <c r="E268" i="9" s="1"/>
  <c r="C269" i="9" l="1"/>
  <c r="D269" i="9" s="1"/>
  <c r="E269" i="9" s="1"/>
  <c r="C270" i="9" l="1"/>
  <c r="D270" i="9" s="1"/>
  <c r="E270" i="9" s="1"/>
  <c r="C271" i="9" l="1"/>
  <c r="D271" i="9" s="1"/>
  <c r="E271" i="9" s="1"/>
  <c r="C272" i="9" l="1"/>
  <c r="D272" i="9" s="1"/>
  <c r="E272" i="9" s="1"/>
  <c r="C273" i="9" l="1"/>
  <c r="D273" i="9" s="1"/>
  <c r="E273" i="9" s="1"/>
  <c r="C274" i="9" l="1"/>
  <c r="D274" i="9" s="1"/>
  <c r="E274" i="9" s="1"/>
  <c r="C275" i="9" l="1"/>
  <c r="D275" i="9" s="1"/>
  <c r="E275" i="9" s="1"/>
  <c r="C276" i="9" l="1"/>
  <c r="D276" i="9" s="1"/>
  <c r="E276" i="9" s="1"/>
  <c r="C277" i="9" l="1"/>
  <c r="D277" i="9" s="1"/>
  <c r="E277" i="9" s="1"/>
  <c r="C278" i="9" l="1"/>
  <c r="D278" i="9" s="1"/>
  <c r="E278" i="9" s="1"/>
  <c r="C279" i="9" l="1"/>
  <c r="D279" i="9" s="1"/>
  <c r="E279" i="9" s="1"/>
  <c r="C280" i="9" l="1"/>
  <c r="D280" i="9" s="1"/>
  <c r="E280" i="9" s="1"/>
  <c r="C281" i="9" l="1"/>
  <c r="D281" i="9" s="1"/>
  <c r="E281" i="9" s="1"/>
  <c r="C282" i="9" l="1"/>
  <c r="D282" i="9" s="1"/>
  <c r="E282" i="9" s="1"/>
  <c r="C283" i="9" l="1"/>
  <c r="D283" i="9" s="1"/>
  <c r="E283" i="9" s="1"/>
  <c r="C284" i="9" l="1"/>
  <c r="D284" i="9" s="1"/>
  <c r="E284" i="9" s="1"/>
  <c r="C285" i="9" l="1"/>
  <c r="D285" i="9" s="1"/>
  <c r="E285" i="9" s="1"/>
  <c r="C286" i="9" l="1"/>
  <c r="D286" i="9" s="1"/>
  <c r="E286" i="9" s="1"/>
  <c r="C287" i="9" l="1"/>
  <c r="D287" i="9" s="1"/>
  <c r="E287" i="9" s="1"/>
  <c r="C288" i="9" l="1"/>
  <c r="D288" i="9" s="1"/>
  <c r="E288" i="9" s="1"/>
  <c r="C289" i="9" l="1"/>
  <c r="D289" i="9" s="1"/>
  <c r="E289" i="9" s="1"/>
  <c r="C290" i="9" l="1"/>
  <c r="D290" i="9" s="1"/>
  <c r="E290" i="9" s="1"/>
  <c r="C291" i="9" l="1"/>
  <c r="D291" i="9" s="1"/>
  <c r="E291" i="9" s="1"/>
  <c r="C292" i="9" l="1"/>
  <c r="D292" i="9" s="1"/>
  <c r="E292" i="9" s="1"/>
  <c r="C293" i="9" l="1"/>
  <c r="D293" i="9" s="1"/>
  <c r="E293" i="9" s="1"/>
  <c r="C294" i="9" l="1"/>
  <c r="D294" i="9" s="1"/>
  <c r="E294" i="9" s="1"/>
  <c r="C295" i="9" l="1"/>
  <c r="D295" i="9" s="1"/>
  <c r="E295" i="9" s="1"/>
  <c r="C296" i="9" l="1"/>
  <c r="D296" i="9" s="1"/>
  <c r="E296" i="9" s="1"/>
  <c r="C297" i="9" l="1"/>
  <c r="D297" i="9" s="1"/>
  <c r="E297" i="9" s="1"/>
  <c r="C298" i="9" l="1"/>
  <c r="D298" i="9" s="1"/>
  <c r="E298" i="9" s="1"/>
  <c r="C299" i="9" l="1"/>
  <c r="D299" i="9" s="1"/>
  <c r="E299" i="9" s="1"/>
  <c r="C300" i="9" l="1"/>
  <c r="D300" i="9" s="1"/>
  <c r="E300" i="9" s="1"/>
  <c r="C301" i="9" l="1"/>
  <c r="D301" i="9" s="1"/>
  <c r="E301" i="9" s="1"/>
  <c r="C302" i="9" l="1"/>
  <c r="D302" i="9" s="1"/>
  <c r="E302" i="9" s="1"/>
  <c r="C303" i="9" l="1"/>
  <c r="D303" i="9" s="1"/>
  <c r="E303" i="9" s="1"/>
  <c r="C304" i="9" l="1"/>
  <c r="D304" i="9" s="1"/>
  <c r="E304" i="9" s="1"/>
  <c r="C305" i="9" l="1"/>
  <c r="D305" i="9" s="1"/>
  <c r="E305" i="9" s="1"/>
  <c r="C306" i="9" l="1"/>
  <c r="D306" i="9" s="1"/>
  <c r="E306" i="9" s="1"/>
  <c r="C307" i="9" l="1"/>
  <c r="D307" i="9" s="1"/>
  <c r="E307" i="9" s="1"/>
  <c r="C308" i="9" l="1"/>
  <c r="D308" i="9" s="1"/>
  <c r="E308" i="9" s="1"/>
  <c r="C309" i="9" l="1"/>
  <c r="D309" i="9" s="1"/>
  <c r="E309" i="9" s="1"/>
  <c r="C310" i="9" l="1"/>
  <c r="D310" i="9" s="1"/>
  <c r="E310" i="9" s="1"/>
  <c r="C311" i="9" l="1"/>
  <c r="D311" i="9" s="1"/>
  <c r="E311" i="9" s="1"/>
  <c r="C312" i="9" l="1"/>
  <c r="D312" i="9" s="1"/>
  <c r="E312" i="9" s="1"/>
  <c r="C313" i="9" l="1"/>
  <c r="D313" i="9" s="1"/>
  <c r="E313" i="9" s="1"/>
  <c r="C314" i="9" l="1"/>
  <c r="D314" i="9" s="1"/>
  <c r="E314" i="9" s="1"/>
  <c r="C315" i="9" l="1"/>
  <c r="D315" i="9" s="1"/>
  <c r="E315" i="9" s="1"/>
  <c r="C316" i="9" l="1"/>
  <c r="D316" i="9" s="1"/>
  <c r="E316" i="9" s="1"/>
  <c r="C317" i="9" l="1"/>
  <c r="D317" i="9" s="1"/>
  <c r="E317" i="9" s="1"/>
  <c r="C318" i="9" l="1"/>
  <c r="D318" i="9" s="1"/>
  <c r="E318" i="9" s="1"/>
  <c r="C319" i="9" l="1"/>
  <c r="D319" i="9" s="1"/>
  <c r="E319" i="9" s="1"/>
  <c r="C320" i="9" l="1"/>
  <c r="D320" i="9" s="1"/>
  <c r="E320" i="9" s="1"/>
  <c r="C321" i="9" l="1"/>
  <c r="D321" i="9" s="1"/>
  <c r="E321" i="9" s="1"/>
  <c r="C322" i="9" l="1"/>
  <c r="D322" i="9" s="1"/>
  <c r="E322" i="9" s="1"/>
  <c r="C323" i="9" l="1"/>
  <c r="D323" i="9" s="1"/>
  <c r="E323" i="9" s="1"/>
  <c r="C324" i="9" l="1"/>
  <c r="D324" i="9" s="1"/>
  <c r="E324" i="9" s="1"/>
  <c r="C325" i="9" l="1"/>
  <c r="D325" i="9" s="1"/>
  <c r="E325" i="9" s="1"/>
  <c r="C326" i="9" l="1"/>
  <c r="D326" i="9" s="1"/>
  <c r="E326" i="9" s="1"/>
  <c r="C327" i="9" l="1"/>
  <c r="D327" i="9" s="1"/>
  <c r="E327" i="9" s="1"/>
  <c r="C328" i="9" l="1"/>
  <c r="D328" i="9" s="1"/>
  <c r="E328" i="9" s="1"/>
  <c r="C329" i="9" l="1"/>
  <c r="D329" i="9" s="1"/>
  <c r="E329" i="9" s="1"/>
  <c r="C330" i="9" l="1"/>
  <c r="D330" i="9" s="1"/>
  <c r="E330" i="9" s="1"/>
  <c r="C331" i="9" l="1"/>
  <c r="D331" i="9" s="1"/>
  <c r="E331" i="9" s="1"/>
  <c r="C332" i="9" l="1"/>
  <c r="D332" i="9" s="1"/>
  <c r="E332" i="9" s="1"/>
  <c r="C333" i="9" l="1"/>
  <c r="D333" i="9" s="1"/>
  <c r="E333" i="9" s="1"/>
  <c r="C334" i="9" l="1"/>
  <c r="D334" i="9" s="1"/>
  <c r="E334" i="9" s="1"/>
  <c r="C335" i="9" l="1"/>
  <c r="D335" i="9" s="1"/>
  <c r="E335" i="9" s="1"/>
  <c r="C336" i="9" l="1"/>
  <c r="D336" i="9" s="1"/>
  <c r="E336" i="9" s="1"/>
  <c r="C337" i="9" l="1"/>
  <c r="D337" i="9" s="1"/>
  <c r="E337" i="9" s="1"/>
  <c r="C338" i="9" l="1"/>
  <c r="D338" i="9" s="1"/>
  <c r="E338" i="9" s="1"/>
  <c r="C339" i="9" l="1"/>
  <c r="D339" i="9" s="1"/>
  <c r="E339" i="9" s="1"/>
  <c r="C340" i="9" l="1"/>
  <c r="D340" i="9" s="1"/>
  <c r="E340" i="9" s="1"/>
  <c r="C341" i="9" l="1"/>
  <c r="D341" i="9" s="1"/>
  <c r="E341" i="9" s="1"/>
  <c r="C342" i="9" l="1"/>
  <c r="D342" i="9" s="1"/>
  <c r="E342" i="9" s="1"/>
  <c r="C343" i="9" l="1"/>
  <c r="D343" i="9" s="1"/>
  <c r="E343" i="9" s="1"/>
  <c r="C344" i="9" l="1"/>
  <c r="D344" i="9" s="1"/>
  <c r="E344" i="9" s="1"/>
  <c r="C345" i="9" l="1"/>
  <c r="D345" i="9" s="1"/>
  <c r="E345" i="9" s="1"/>
  <c r="C346" i="9" l="1"/>
  <c r="D346" i="9" s="1"/>
  <c r="E346" i="9" s="1"/>
  <c r="C347" i="9" l="1"/>
  <c r="D347" i="9" s="1"/>
  <c r="E347" i="9" s="1"/>
  <c r="C348" i="9" l="1"/>
  <c r="D348" i="9" s="1"/>
  <c r="E348" i="9" s="1"/>
  <c r="C349" i="9" l="1"/>
  <c r="D349" i="9" s="1"/>
  <c r="E349" i="9" s="1"/>
  <c r="C350" i="9" l="1"/>
  <c r="D350" i="9" s="1"/>
  <c r="E350" i="9" s="1"/>
  <c r="C351" i="9" l="1"/>
  <c r="D351" i="9" s="1"/>
  <c r="E351" i="9" s="1"/>
  <c r="C352" i="9" l="1"/>
  <c r="D352" i="9" s="1"/>
  <c r="E352" i="9" s="1"/>
  <c r="C353" i="9" l="1"/>
  <c r="D353" i="9" s="1"/>
  <c r="E353" i="9" s="1"/>
  <c r="C354" i="9" l="1"/>
  <c r="D354" i="9" s="1"/>
  <c r="E354" i="9" s="1"/>
  <c r="C355" i="9" l="1"/>
  <c r="D355" i="9" s="1"/>
  <c r="E355" i="9" s="1"/>
  <c r="C356" i="9" l="1"/>
  <c r="D356" i="9" s="1"/>
  <c r="E356" i="9" s="1"/>
  <c r="C357" i="9" l="1"/>
  <c r="D357" i="9" s="1"/>
  <c r="E357" i="9" s="1"/>
  <c r="C358" i="9" l="1"/>
  <c r="D358" i="9" s="1"/>
  <c r="E358" i="9" s="1"/>
  <c r="C359" i="9" l="1"/>
  <c r="D359" i="9" s="1"/>
  <c r="E359" i="9" s="1"/>
  <c r="C360" i="9" l="1"/>
  <c r="D360" i="9" s="1"/>
  <c r="E360" i="9" s="1"/>
  <c r="C361" i="9" l="1"/>
  <c r="D361" i="9" s="1"/>
  <c r="E361" i="9" s="1"/>
  <c r="C362" i="9" l="1"/>
  <c r="D362" i="9" s="1"/>
  <c r="E362" i="9" s="1"/>
  <c r="C363" i="9" l="1"/>
  <c r="D363" i="9" s="1"/>
  <c r="E363" i="9" s="1"/>
  <c r="C364" i="9" l="1"/>
  <c r="D364" i="9" s="1"/>
  <c r="E364" i="9" s="1"/>
  <c r="C365" i="9" l="1"/>
  <c r="D365" i="9" s="1"/>
  <c r="E365" i="9" s="1"/>
  <c r="C366" i="9" l="1"/>
  <c r="D366" i="9" s="1"/>
  <c r="E366" i="9" s="1"/>
  <c r="C367" i="9" l="1"/>
  <c r="D367" i="9" s="1"/>
  <c r="E367" i="9" s="1"/>
  <c r="C368" i="9" l="1"/>
  <c r="D368" i="9" s="1"/>
  <c r="E368" i="9" s="1"/>
  <c r="C369" i="9" l="1"/>
  <c r="D369" i="9" s="1"/>
  <c r="E369" i="9" s="1"/>
  <c r="C370" i="9" l="1"/>
  <c r="D370" i="9" s="1"/>
  <c r="E370" i="9" s="1"/>
  <c r="C371" i="9" l="1"/>
  <c r="D371" i="9" s="1"/>
  <c r="E371" i="9" s="1"/>
  <c r="C372" i="9" l="1"/>
  <c r="D372" i="9" s="1"/>
  <c r="E37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<sst xmlns="http://schemas.openxmlformats.org/spreadsheetml/2006/main" count="2535" uniqueCount="2368">
  <si>
    <t>Face</t>
  </si>
  <si>
    <t>r</t>
  </si>
  <si>
    <t>cpr</t>
  </si>
  <si>
    <t>cpn</t>
  </si>
  <si>
    <t>Cash Flow</t>
  </si>
  <si>
    <t>PVCF</t>
  </si>
  <si>
    <t>Discount factor</t>
  </si>
  <si>
    <t>PV of Bond</t>
  </si>
  <si>
    <t>Using VBA PVBm(cpr, r, T, Face, m)</t>
  </si>
  <si>
    <t>PVBm(cpr, r, T, Face, m)</t>
  </si>
  <si>
    <t>T</t>
  </si>
  <si>
    <t>m</t>
  </si>
  <si>
    <t>Maturity</t>
  </si>
  <si>
    <t>PVBmIRR(cpr, T, Face, m, Target)</t>
  </si>
  <si>
    <t>Target</t>
  </si>
  <si>
    <t>PVBmDur(cpr, r, T, Face, m)</t>
  </si>
  <si>
    <t>Time</t>
  </si>
  <si>
    <t>DF</t>
  </si>
  <si>
    <t>DCF</t>
  </si>
  <si>
    <t>DCF*Time</t>
  </si>
  <si>
    <t>Present Value (PV)</t>
  </si>
  <si>
    <t xml:space="preserve">Year </t>
  </si>
  <si>
    <t xml:space="preserve">Face Value </t>
  </si>
  <si>
    <t xml:space="preserve">The sample parameters are as follow. </t>
  </si>
  <si>
    <t xml:space="preserve">Solution </t>
  </si>
  <si>
    <t>Face Value</t>
  </si>
  <si>
    <t xml:space="preserve">Google Collab Link </t>
  </si>
  <si>
    <t xml:space="preserve">Bond Price </t>
  </si>
  <si>
    <t>Yield/Discount Rate(r )</t>
  </si>
  <si>
    <t xml:space="preserve">cpr </t>
  </si>
  <si>
    <t xml:space="preserve">maturity </t>
  </si>
  <si>
    <t xml:space="preserve">Graph </t>
  </si>
  <si>
    <t xml:space="preserve">Interpretation </t>
  </si>
  <si>
    <t xml:space="preserve">Calculation </t>
  </si>
  <si>
    <t xml:space="preserve">Using VBA code </t>
  </si>
  <si>
    <t xml:space="preserve">Duration </t>
  </si>
  <si>
    <t>https://colab.research.google.com/drive/14a0CRqP0o4TSnR7F-iFQWh9PZP4qYCK9?usp=sharing</t>
  </si>
  <si>
    <t xml:space="preserve">Google Collab link </t>
  </si>
  <si>
    <t>T(maturity)</t>
  </si>
  <si>
    <t>https://colab.research.google.com/drive/1BPvYBnOHT7mfpe76LljwbRgFu7g4Q8ZM?usp=sharing</t>
  </si>
  <si>
    <t>Google Collab Link</t>
  </si>
  <si>
    <t xml:space="preserve">Mortgage Payment according to VBA </t>
  </si>
  <si>
    <t>https://colab.research.google.com/drive/1ijgVt_JSsbXT2OyHDRQ8WostEWxmqOXi?usp=sharing</t>
  </si>
  <si>
    <t>Month</t>
  </si>
  <si>
    <t>Payment</t>
  </si>
  <si>
    <t>Interest Paid</t>
  </si>
  <si>
    <t>Principal Paid</t>
  </si>
  <si>
    <t>Balance</t>
  </si>
  <si>
    <t xml:space="preserve">Sample parameter </t>
  </si>
  <si>
    <t xml:space="preserve">Output from Excel Manual Calculation </t>
  </si>
  <si>
    <t xml:space="preserve">Output from using VBA ( Module 4) </t>
  </si>
  <si>
    <t>cpr(coupon Rate )</t>
  </si>
  <si>
    <t>T(Time to maturity)</t>
  </si>
  <si>
    <t xml:space="preserve">m(Compounding Frequency) </t>
  </si>
  <si>
    <t xml:space="preserve">r(Yield) </t>
  </si>
  <si>
    <t>Bond Price</t>
  </si>
  <si>
    <t>yield-r</t>
  </si>
  <si>
    <t>B</t>
  </si>
  <si>
    <t>I</t>
  </si>
  <si>
    <t>F</t>
  </si>
  <si>
    <t>K</t>
  </si>
  <si>
    <t>Sigma</t>
  </si>
  <si>
    <t xml:space="preserve">P(VBA) </t>
  </si>
  <si>
    <t>Balck-Put</t>
  </si>
  <si>
    <t>Black-Call</t>
  </si>
  <si>
    <t xml:space="preserve">Sample Parameters </t>
  </si>
  <si>
    <t xml:space="preserve">F(F=(B-I)*exp(rT) </t>
  </si>
  <si>
    <t>sigma</t>
  </si>
  <si>
    <t>https://colab.research.google.com/drive/1JQMNMA6d6aGGGHwFngY7B0g5xoq9GTAP?usp=sharing</t>
  </si>
  <si>
    <t xml:space="preserve">Sigma </t>
  </si>
  <si>
    <t>Date</t>
  </si>
  <si>
    <t>AAPL</t>
  </si>
  <si>
    <t>AMD</t>
  </si>
  <si>
    <t>AMZN</t>
  </si>
  <si>
    <t>GOOGL</t>
  </si>
  <si>
    <t>JPM</t>
  </si>
  <si>
    <t>META</t>
  </si>
  <si>
    <t>MSFT</t>
  </si>
  <si>
    <t>NFLX</t>
  </si>
  <si>
    <t>NVDA</t>
  </si>
  <si>
    <t>TSLA</t>
  </si>
  <si>
    <t>184.53208923339844</t>
  </si>
  <si>
    <t>138.5800018310547</t>
  </si>
  <si>
    <t>149.92999267578125</t>
  </si>
  <si>
    <t>137.51255798339844</t>
  </si>
  <si>
    <t>167.20314025878906</t>
  </si>
  <si>
    <t>344.66558837890625</t>
  </si>
  <si>
    <t>48.14991760253906</t>
  </si>
  <si>
    <t>248.4199981689453</t>
  </si>
  <si>
    <t>135.32000732421875</t>
  </si>
  <si>
    <t>148.47000122070312</t>
  </si>
  <si>
    <t>138.2589874267578</t>
  </si>
  <si>
    <t>166.47439575195312</t>
  </si>
  <si>
    <t>342.8541259765625</t>
  </si>
  <si>
    <t>367.1131591796875</t>
  </si>
  <si>
    <t>47.551143646240234</t>
  </si>
  <si>
    <t>238.4499969482422</t>
  </si>
  <si>
    <t>180.82435607910156</t>
  </si>
  <si>
    <t>136.00999450683594</t>
  </si>
  <si>
    <t>144.57000732421875</t>
  </si>
  <si>
    <t>135.74102783203125</t>
  </si>
  <si>
    <t>167.5791473388672</t>
  </si>
  <si>
    <t>364.4781494140625</t>
  </si>
  <si>
    <t>474.6700134277344</t>
  </si>
  <si>
    <t>47.979984283447266</t>
  </si>
  <si>
    <t>237.92999267578125</t>
  </si>
  <si>
    <t>180.0987091064453</t>
  </si>
  <si>
    <t>145.24000549316406</t>
  </si>
  <si>
    <t>135.08416748046875</t>
  </si>
  <si>
    <t>350.2990417480469</t>
  </si>
  <si>
    <t>364.2899475097656</t>
  </si>
  <si>
    <t>474.05999755859375</t>
  </si>
  <si>
    <t>49.07856750488281</t>
  </si>
  <si>
    <t>237.49000549316406</t>
  </si>
  <si>
    <t>184.45254516601562</t>
  </si>
  <si>
    <t>146.17999267578125</t>
  </si>
  <si>
    <t>149.10000610351562</t>
  </si>
  <si>
    <t>138.1793670654297</t>
  </si>
  <si>
    <t>168.17552185058594</t>
  </si>
  <si>
    <t>356.9775695800781</t>
  </si>
  <si>
    <t>371.1646728515625</t>
  </si>
  <si>
    <t>485.0299987792969</t>
  </si>
  <si>
    <t>52.23337936401367</t>
  </si>
  <si>
    <t>240.4499969482422</t>
  </si>
  <si>
    <t>184.0350799560547</t>
  </si>
  <si>
    <t>149.25999450683594</t>
  </si>
  <si>
    <t>151.3699951171875</t>
  </si>
  <si>
    <t>140.2793426513672</t>
  </si>
  <si>
    <t>166.8459014892578</t>
  </si>
  <si>
    <t>355.7533264160156</t>
  </si>
  <si>
    <t>372.25433349609375</t>
  </si>
  <si>
    <t>482.0899963378906</t>
  </si>
  <si>
    <t>53.120052337646484</t>
  </si>
  <si>
    <t>234.9600067138672</t>
  </si>
  <si>
    <t>185.0787811279297</t>
  </si>
  <si>
    <t>148.5399932861328</t>
  </si>
  <si>
    <t>153.72999572753906</t>
  </si>
  <si>
    <t>141.60299682617188</t>
  </si>
  <si>
    <t>167.1978759765625</t>
  </si>
  <si>
    <t>379.1686096191406</t>
  </si>
  <si>
    <t>478.3299865722656</t>
  </si>
  <si>
    <t>54.32959747314453</t>
  </si>
  <si>
    <t>233.94000244140625</t>
  </si>
  <si>
    <t>184.4823760986328</t>
  </si>
  <si>
    <t>148.02000427246094</t>
  </si>
  <si>
    <t>155.17999267578125</t>
  </si>
  <si>
    <t>141.40394592285156</t>
  </si>
  <si>
    <t>166.49395751953125</t>
  </si>
  <si>
    <t>367.9359436035156</t>
  </si>
  <si>
    <t>381.01116943359375</t>
  </si>
  <si>
    <t>492.2300109863281</t>
  </si>
  <si>
    <t>54.801422119140625</t>
  </si>
  <si>
    <t>227.22000122070312</t>
  </si>
  <si>
    <t>184.8104248046875</t>
  </si>
  <si>
    <t>146.55999755859375</t>
  </si>
  <si>
    <t>154.6199951171875</t>
  </si>
  <si>
    <t>141.9712371826172</t>
  </si>
  <si>
    <t>165.27188110351562</t>
  </si>
  <si>
    <t>372.7332763671875</t>
  </si>
  <si>
    <t>384.8150329589844</t>
  </si>
  <si>
    <t>492.1600036621094</t>
  </si>
  <si>
    <t>54.68946075439453</t>
  </si>
  <si>
    <t>218.88999938964844</t>
  </si>
  <si>
    <t>182.53408813476562</t>
  </si>
  <si>
    <t>158.74000549316406</t>
  </si>
  <si>
    <t>153.16000366210938</t>
  </si>
  <si>
    <t>164.23556518554688</t>
  </si>
  <si>
    <t>365.73626708984375</t>
  </si>
  <si>
    <t>386.59808349609375</t>
  </si>
  <si>
    <t>56.360836029052734</t>
  </si>
  <si>
    <t>219.91000366210938</t>
  </si>
  <si>
    <t>181.58973693847656</t>
  </si>
  <si>
    <t>160.1699981689453</t>
  </si>
  <si>
    <t>151.7100067138672</t>
  </si>
  <si>
    <t>140.79685974121094</t>
  </si>
  <si>
    <t>163.35568237304688</t>
  </si>
  <si>
    <t>366.6419982910156</t>
  </si>
  <si>
    <t>385.80560302734375</t>
  </si>
  <si>
    <t>480.3299865722656</t>
  </si>
  <si>
    <t>56.03196334838867</t>
  </si>
  <si>
    <t>215.5500030517578</t>
  </si>
  <si>
    <t>187.50425720214844</t>
  </si>
  <si>
    <t>162.6699981689453</t>
  </si>
  <si>
    <t>142.7972869873047</t>
  </si>
  <si>
    <t>163.6782989501953</t>
  </si>
  <si>
    <t>374.3656005859375</t>
  </si>
  <si>
    <t>390.1641845703125</t>
  </si>
  <si>
    <t>485.30999755859375</t>
  </si>
  <si>
    <t>57.08556365966797</t>
  </si>
  <si>
    <t>211.8800048828125</t>
  </si>
  <si>
    <t>190.41676330566406</t>
  </si>
  <si>
    <t>174.22999572753906</t>
  </si>
  <si>
    <t>155.33999633789062</t>
  </si>
  <si>
    <t>145.68350219726562</t>
  </si>
  <si>
    <t>166.5037078857422</t>
  </si>
  <si>
    <t>381.6512756347656</t>
  </si>
  <si>
    <t>394.9190368652344</t>
  </si>
  <si>
    <t>482.95001220703125</t>
  </si>
  <si>
    <t>59.46866226196289</t>
  </si>
  <si>
    <t>212.19000244140625</t>
  </si>
  <si>
    <t>192.73284912109375</t>
  </si>
  <si>
    <t>168.17999267578125</t>
  </si>
  <si>
    <t>154.77999877929688</t>
  </si>
  <si>
    <t>145.2953643798828</t>
  </si>
  <si>
    <t>166.3081817626953</t>
  </si>
  <si>
    <t>379.98907470703125</t>
  </si>
  <si>
    <t>392.7794189453125</t>
  </si>
  <si>
    <t>485.7099914550781</t>
  </si>
  <si>
    <t>59.63160705566406</t>
  </si>
  <si>
    <t>208.8000030517578</t>
  </si>
  <si>
    <t>194.01515197753906</t>
  </si>
  <si>
    <t>168.4199981689453</t>
  </si>
  <si>
    <t>156.02000427246094</t>
  </si>
  <si>
    <t>146.34034729003906</t>
  </si>
  <si>
    <t>165.2132110595703</t>
  </si>
  <si>
    <t>395.1468811035156</t>
  </si>
  <si>
    <t>492.19000244140625</t>
  </si>
  <si>
    <t>59.850528717041016</t>
  </si>
  <si>
    <t>209.13999938964844</t>
  </si>
  <si>
    <t>193.33921813964844</t>
  </si>
  <si>
    <t>178.2899932861328</t>
  </si>
  <si>
    <t>156.8699951171875</t>
  </si>
  <si>
    <t>147.99244689941406</t>
  </si>
  <si>
    <t>166.68948364257812</t>
  </si>
  <si>
    <t>388.86724853515625</t>
  </si>
  <si>
    <t>398.7724914550781</t>
  </si>
  <si>
    <t>544.8699951171875</t>
  </si>
  <si>
    <t>61.338966369628906</t>
  </si>
  <si>
    <t>207.8300018310547</t>
  </si>
  <si>
    <t>193.0111846923828</t>
  </si>
  <si>
    <t>180.3300018310547</t>
  </si>
  <si>
    <t>151.14735412597656</t>
  </si>
  <si>
    <t>169.07493591308594</t>
  </si>
  <si>
    <t>391.3356018066406</t>
  </si>
  <si>
    <t>401.0606994628906</t>
  </si>
  <si>
    <t>61.593868255615234</t>
  </si>
  <si>
    <t>182.6300048828125</t>
  </si>
  <si>
    <t>191.27162170410156</t>
  </si>
  <si>
    <t>159.1199951171875</t>
  </si>
  <si>
    <t>151.46583557128906</t>
  </si>
  <si>
    <t>168.42970275878906</t>
  </si>
  <si>
    <t>392.2911376953125</t>
  </si>
  <si>
    <t>400.1295166015625</t>
  </si>
  <si>
    <t>570.4199829101562</t>
  </si>
  <si>
    <t>61.00809097290039</t>
  </si>
  <si>
    <t>190.5857391357422</t>
  </si>
  <si>
    <t>177.8300018310547</t>
  </si>
  <si>
    <t>161.25999450683594</t>
  </si>
  <si>
    <t>152.77955627441406</t>
  </si>
  <si>
    <t>399.13885498046875</t>
  </si>
  <si>
    <t>405.86505126953125</t>
  </si>
  <si>
    <t>575.7899780273438</t>
  </si>
  <si>
    <t>62.441551208496094</t>
  </si>
  <si>
    <t>190.92999267578125</t>
  </si>
  <si>
    <t>186.91773986816406</t>
  </si>
  <si>
    <t>172.05999755859375</t>
  </si>
  <si>
    <t>150.73931884765625</t>
  </si>
  <si>
    <t>172.33053588867188</t>
  </si>
  <si>
    <t>398.1833190917969</t>
  </si>
  <si>
    <t>404.7457275390625</t>
  </si>
  <si>
    <t>562.8499755859375</t>
  </si>
  <si>
    <t>62.75043487548828</t>
  </si>
  <si>
    <t>191.58999633789062</t>
  </si>
  <si>
    <t>183.29949951171875</t>
  </si>
  <si>
    <t>167.69000244140625</t>
  </si>
  <si>
    <t>155.1999969482422</t>
  </si>
  <si>
    <t>139.43338012695312</t>
  </si>
  <si>
    <t>170.4632110595703</t>
  </si>
  <si>
    <t>388.3099670410156</t>
  </si>
  <si>
    <t>393.83929443359375</t>
  </si>
  <si>
    <t>564.1099853515625</t>
  </si>
  <si>
    <t>61.503902435302734</t>
  </si>
  <si>
    <t>187.2899932861328</t>
  </si>
  <si>
    <t>185.74481201171875</t>
  </si>
  <si>
    <t>170.47999572753906</t>
  </si>
  <si>
    <t>159.27999877929688</t>
  </si>
  <si>
    <t>140.48834228515625</t>
  </si>
  <si>
    <t>169.84727478027344</t>
  </si>
  <si>
    <t>392.9281311035156</t>
  </si>
  <si>
    <t>63.00334167480469</t>
  </si>
  <si>
    <t>188.86000061035156</t>
  </si>
  <si>
    <t>184.7408447265625</t>
  </si>
  <si>
    <t>177.66000366210938</t>
  </si>
  <si>
    <t>171.80999755859375</t>
  </si>
  <si>
    <t>141.70254516601562</t>
  </si>
  <si>
    <t>170.82492065429688</t>
  </si>
  <si>
    <t>472.7618408203125</t>
  </si>
  <si>
    <t>407.3509826660156</t>
  </si>
  <si>
    <t>564.6400146484375</t>
  </si>
  <si>
    <t>66.13516998291016</t>
  </si>
  <si>
    <t>187.91000366210938</t>
  </si>
  <si>
    <t>186.55990600585938</t>
  </si>
  <si>
    <t>170.30999755859375</t>
  </si>
  <si>
    <t>170.60006713867188</t>
  </si>
  <si>
    <t>457.25494384765625</t>
  </si>
  <si>
    <t>401.8333740234375</t>
  </si>
  <si>
    <t>562.0599975585938</t>
  </si>
  <si>
    <t>69.30597686767578</t>
  </si>
  <si>
    <t>181.05999755859375</t>
  </si>
  <si>
    <t>188.17025756835938</t>
  </si>
  <si>
    <t>167.8800048828125</t>
  </si>
  <si>
    <t>169.14999389648438</t>
  </si>
  <si>
    <t>143.4143524169922</t>
  </si>
  <si>
    <t>171.18666076660156</t>
  </si>
  <si>
    <t>452.58697509765625</t>
  </si>
  <si>
    <t>401.67486572265625</t>
  </si>
  <si>
    <t>555.8800048828125</t>
  </si>
  <si>
    <t>68.19739532470703</t>
  </si>
  <si>
    <t>185.10000610351562</t>
  </si>
  <si>
    <t>188.27960205078125</t>
  </si>
  <si>
    <t>170.94000244140625</t>
  </si>
  <si>
    <t>170.52999877929688</t>
  </si>
  <si>
    <t>144.84750366210938</t>
  </si>
  <si>
    <t>171.50929260253906</t>
  </si>
  <si>
    <t>467.3871765136719</t>
  </si>
  <si>
    <t>410.15435791015625</t>
  </si>
  <si>
    <t>559.2999877929688</t>
  </si>
  <si>
    <t>70.07267761230469</t>
  </si>
  <si>
    <t>187.5800018310547</t>
  </si>
  <si>
    <t>187.1960906982422</t>
  </si>
  <si>
    <t>169.35000610351562</t>
  </si>
  <si>
    <t>169.83999633789062</t>
  </si>
  <si>
    <t>145.2157440185547</t>
  </si>
  <si>
    <t>170.8933868408203</t>
  </si>
  <si>
    <t>467.7952880859375</t>
  </si>
  <si>
    <t>410.2137451171875</t>
  </si>
  <si>
    <t>69.61485290527344</t>
  </si>
  <si>
    <t>189.55999755859375</t>
  </si>
  <si>
    <t>187.9624786376953</t>
  </si>
  <si>
    <t>172.47999572753906</t>
  </si>
  <si>
    <t>174.4499969482422</t>
  </si>
  <si>
    <t>148.29103088378906</t>
  </si>
  <si>
    <t>171.0986785888672</t>
  </si>
  <si>
    <t>465.91412353515625</t>
  </si>
  <si>
    <t>416.5931701660156</t>
  </si>
  <si>
    <t>561.3200073242188</t>
  </si>
  <si>
    <t>193.57000732421875</t>
  </si>
  <si>
    <t>186.27044677734375</t>
  </si>
  <si>
    <t>171.91000366210938</t>
  </si>
  <si>
    <t>172.33999633789062</t>
  </si>
  <si>
    <t>146.82803344726562</t>
  </si>
  <si>
    <t>171.86123657226562</t>
  </si>
  <si>
    <t>411.3529357910156</t>
  </si>
  <si>
    <t>557.8499755859375</t>
  </si>
  <si>
    <t>72.22087860107422</t>
  </si>
  <si>
    <t>188.1300048828125</t>
  </si>
  <si>
    <t>184.17037963867188</t>
  </si>
  <si>
    <t>171.5399932861328</t>
  </si>
  <si>
    <t>168.63999938964844</t>
  </si>
  <si>
    <t>144.4493865966797</t>
  </si>
  <si>
    <t>170.36544799804688</t>
  </si>
  <si>
    <t>457.96160888671875</t>
  </si>
  <si>
    <t>72.10093688964844</t>
  </si>
  <si>
    <t>184.02000427246094</t>
  </si>
  <si>
    <t>183.28456115722656</t>
  </si>
  <si>
    <t>178.6999969482422</t>
  </si>
  <si>
    <t>170.97999572753906</t>
  </si>
  <si>
    <t>145.24559020996094</t>
  </si>
  <si>
    <t>172.0958709716797</t>
  </si>
  <si>
    <t>471.0599060058594</t>
  </si>
  <si>
    <t>406.3873596191406</t>
  </si>
  <si>
    <t>579.3300170898438</t>
  </si>
  <si>
    <t>73.87226867675781</t>
  </si>
  <si>
    <t>188.7100067138672</t>
  </si>
  <si>
    <t>182.99594116210938</t>
  </si>
  <si>
    <t>176.75999450683594</t>
  </si>
  <si>
    <t>169.8000030517578</t>
  </si>
  <si>
    <t>142.09066772460938</t>
  </si>
  <si>
    <t>175.85006713867188</t>
  </si>
  <si>
    <t>481.75946044921875</t>
  </si>
  <si>
    <t>403.4795837402344</t>
  </si>
  <si>
    <t>593.4600219726562</t>
  </si>
  <si>
    <t>72.63072204589844</t>
  </si>
  <si>
    <t>200.4499969482422</t>
  </si>
  <si>
    <t>181.4532012939453</t>
  </si>
  <si>
    <t>173.8699951171875</t>
  </si>
  <si>
    <t>169.50999450683594</t>
  </si>
  <si>
    <t>139.85137939453125</t>
  </si>
  <si>
    <t>175.02882385253906</t>
  </si>
  <si>
    <t>471.0997314453125</t>
  </si>
  <si>
    <t>583.9500122070312</t>
  </si>
  <si>
    <t>72.58573913574219</t>
  </si>
  <si>
    <t>199.9499969482422</t>
  </si>
  <si>
    <t>180.70672607421875</t>
  </si>
  <si>
    <t>165.69000244140625</t>
  </si>
  <si>
    <t>167.0800018310547</t>
  </si>
  <si>
    <t>140.44851684570312</t>
  </si>
  <si>
    <t>175.7131805419922</t>
  </si>
  <si>
    <t>469.53704833984375</t>
  </si>
  <si>
    <t>399.7381286621094</t>
  </si>
  <si>
    <t>575.1300048828125</t>
  </si>
  <si>
    <t>69.42593383789062</t>
  </si>
  <si>
    <t>193.75999450683594</t>
  </si>
  <si>
    <t>181.46316528320312</t>
  </si>
  <si>
    <t>164.2899932861328</t>
  </si>
  <si>
    <t>168.58999633789062</t>
  </si>
  <si>
    <t>141.87171936035156</t>
  </si>
  <si>
    <t>176.85704040527344</t>
  </si>
  <si>
    <t>466.3287658691406</t>
  </si>
  <si>
    <t>399.13275146484375</t>
  </si>
  <si>
    <t>573.3499755859375</t>
  </si>
  <si>
    <t>194.77000427246094</t>
  </si>
  <si>
    <t>183.50350952148438</t>
  </si>
  <si>
    <t>181.86000061035156</t>
  </si>
  <si>
    <t>174.5800018310547</t>
  </si>
  <si>
    <t>143.40438842773438</t>
  </si>
  <si>
    <t>178.97854614257812</t>
  </si>
  <si>
    <t>484.36297607421875</t>
  </si>
  <si>
    <t>408.5309753417969</t>
  </si>
  <si>
    <t>197.41000366210938</t>
  </si>
  <si>
    <t>181.6622314453125</t>
  </si>
  <si>
    <t>176.52000427246094</t>
  </si>
  <si>
    <t>174.99000549316406</t>
  </si>
  <si>
    <t>143.2750244140625</t>
  </si>
  <si>
    <t>179.8779754638672</t>
  </si>
  <si>
    <t>482.2705993652344</t>
  </si>
  <si>
    <t>583.5599975585938</t>
  </si>
  <si>
    <t>78.78741455078125</t>
  </si>
  <si>
    <t>191.97000122070312</t>
  </si>
  <si>
    <t>180.30862426757812</t>
  </si>
  <si>
    <t>176.00999450683594</t>
  </si>
  <si>
    <t>174.72999572753906</t>
  </si>
  <si>
    <t>136.91542053222656</t>
  </si>
  <si>
    <t>179.26205444335938</t>
  </si>
  <si>
    <t>479.98895263671875</t>
  </si>
  <si>
    <t>404.4521789550781</t>
  </si>
  <si>
    <t>587.6500244140625</t>
  </si>
  <si>
    <t>79.06232452392578</t>
  </si>
  <si>
    <t>199.39999389648438</t>
  </si>
  <si>
    <t>181.77169799804688</t>
  </si>
  <si>
    <t>173.5399932861328</t>
  </si>
  <si>
    <t>138.21917724609375</t>
  </si>
  <si>
    <t>179.3500518798828</t>
  </si>
  <si>
    <t>485.2796630859375</t>
  </si>
  <si>
    <t>404.3926086425781</t>
  </si>
  <si>
    <t>601.6699829101562</t>
  </si>
  <si>
    <t>78.67144775390625</t>
  </si>
  <si>
    <t>199.72999572753906</t>
  </si>
  <si>
    <t>176.5399932861328</t>
  </si>
  <si>
    <t>173.16000366210938</t>
  </si>
  <si>
    <t>135.73106384277344</t>
  </si>
  <si>
    <t>482.2606506347656</t>
  </si>
  <si>
    <t>404.6307678222656</t>
  </si>
  <si>
    <t>77.63385009765625</t>
  </si>
  <si>
    <t>202.0399932861328</t>
  </si>
  <si>
    <t>179.90054321289062</t>
  </si>
  <si>
    <t>192.52999877929688</t>
  </si>
  <si>
    <t>137.80117797851562</t>
  </si>
  <si>
    <t>181.90171813964844</t>
  </si>
  <si>
    <t>488.34844970703125</t>
  </si>
  <si>
    <t>410.5059509277344</t>
  </si>
  <si>
    <t>602.9199829101562</t>
  </si>
  <si>
    <t>79.08230590820312</t>
  </si>
  <si>
    <t>201.8800048828125</t>
  </si>
  <si>
    <t>178.81565856933594</t>
  </si>
  <si>
    <t>202.63999938964844</t>
  </si>
  <si>
    <t>178.22000122070312</t>
  </si>
  <si>
    <t>136.48745727539062</t>
  </si>
  <si>
    <t>181.14891052246094</t>
  </si>
  <si>
    <t>500.47418212890625</t>
  </si>
  <si>
    <t>412.3518371582031</t>
  </si>
  <si>
    <t>619.3400268554688</t>
  </si>
  <si>
    <t>82.24810791015625</t>
  </si>
  <si>
    <t>205.36000061035156</t>
  </si>
  <si>
    <t>177.5800018310547</t>
  </si>
  <si>
    <t>132.7154998779297</t>
  </si>
  <si>
    <t>182.5078582763672</t>
  </si>
  <si>
    <t>411.7762756347656</t>
  </si>
  <si>
    <t>615.8300170898438</t>
  </si>
  <si>
    <t>85.20500183105469</t>
  </si>
  <si>
    <t>188.13999938964844</t>
  </si>
  <si>
    <t>169.32049560546875</t>
  </si>
  <si>
    <t>205.1300048828125</t>
  </si>
  <si>
    <t>174.1199951171875</t>
  </si>
  <si>
    <t>132.03872680664062</t>
  </si>
  <si>
    <t>184.33607482910156</t>
  </si>
  <si>
    <t>488.4381408691406</t>
  </si>
  <si>
    <t>399.5991516113281</t>
  </si>
  <si>
    <t>85.93576049804688</t>
  </si>
  <si>
    <t>180.74000549316406</t>
  </si>
  <si>
    <t>210.6300048828125</t>
  </si>
  <si>
    <t>173.50999450683594</t>
  </si>
  <si>
    <t>130.77476501464844</t>
  </si>
  <si>
    <t>185.29417419433594</t>
  </si>
  <si>
    <t>494.2867736816406</t>
  </si>
  <si>
    <t>399.0434265136719</t>
  </si>
  <si>
    <t>597.6900024414062</t>
  </si>
  <si>
    <t>88.67086029052734</t>
  </si>
  <si>
    <t>168.20574951171875</t>
  </si>
  <si>
    <t>211.3800048828125</t>
  </si>
  <si>
    <t>176.82000732421875</t>
  </si>
  <si>
    <t>133.7406005859375</t>
  </si>
  <si>
    <t>183.6712646484375</t>
  </si>
  <si>
    <t>510.3282470703125</t>
  </si>
  <si>
    <t>406.0400695800781</t>
  </si>
  <si>
    <t>178.64999389648438</t>
  </si>
  <si>
    <t>169.92762756347656</t>
  </si>
  <si>
    <t>207.38999938964844</t>
  </si>
  <si>
    <t>175.35000610351562</t>
  </si>
  <si>
    <t>134.76568603515625</t>
  </si>
  <si>
    <t>184.01344299316406</t>
  </si>
  <si>
    <t>504.1109619140625</t>
  </si>
  <si>
    <t>403.14215087890625</t>
  </si>
  <si>
    <t>604.8200073242188</t>
  </si>
  <si>
    <t>87.49925231933594</t>
  </si>
  <si>
    <t>175.33999633789062</t>
  </si>
  <si>
    <t>171.93812561035156</t>
  </si>
  <si>
    <t>198.38999938964844</t>
  </si>
  <si>
    <t>171.9600067138672</t>
  </si>
  <si>
    <t>137.0149383544922</t>
  </si>
  <si>
    <t>184.0818634033203</t>
  </si>
  <si>
    <t>481.8321838378906</t>
  </si>
  <si>
    <t>401.45501708984375</t>
  </si>
  <si>
    <t>600.9299926757812</t>
  </si>
  <si>
    <t>177.77000427246094</t>
  </si>
  <si>
    <t>172.41586303710938</t>
  </si>
  <si>
    <t>202.75999450683594</t>
  </si>
  <si>
    <t>175.38999938964844</t>
  </si>
  <si>
    <t>137.84097290039062</t>
  </si>
  <si>
    <t>185.59722900390625</t>
  </si>
  <si>
    <t>497.9335021972656</t>
  </si>
  <si>
    <t>412.13348388671875</t>
  </si>
  <si>
    <t>611.0800170898438</t>
  </si>
  <si>
    <t>177.5399932861328</t>
  </si>
  <si>
    <t>170.3257598876953</t>
  </si>
  <si>
    <t>194.7899932861328</t>
  </si>
  <si>
    <t>176.55999755859375</t>
  </si>
  <si>
    <t>139.12484741210938</t>
  </si>
  <si>
    <t>187.1028289794922</t>
  </si>
  <si>
    <t>493.7686767578125</t>
  </si>
  <si>
    <t>411.95489501953125</t>
  </si>
  <si>
    <t>609.4500122070312</t>
  </si>
  <si>
    <t>90.85814666748047</t>
  </si>
  <si>
    <t>169.47999572753906</t>
  </si>
  <si>
    <t>172.18695068359375</t>
  </si>
  <si>
    <t>187.05999755859375</t>
  </si>
  <si>
    <t>142.4191131591797</t>
  </si>
  <si>
    <t>490.04229736328125</t>
  </si>
  <si>
    <t>421.9981994628906</t>
  </si>
  <si>
    <t>87.91510772705078</t>
  </si>
  <si>
    <t>171.80874633789062</t>
  </si>
  <si>
    <t>191.05999755859375</t>
  </si>
  <si>
    <t>174.4199981689453</t>
  </si>
  <si>
    <t>140.50823974609375</t>
  </si>
  <si>
    <t>186.04696655273438</t>
  </si>
  <si>
    <t>482.3403625488281</t>
  </si>
  <si>
    <t>605.8800048828125</t>
  </si>
  <si>
    <t>87.80814361572266</t>
  </si>
  <si>
    <t>163.57000732421875</t>
  </si>
  <si>
    <t>172.90357971191406</t>
  </si>
  <si>
    <t>190.64999389648438</t>
  </si>
  <si>
    <t>174.47999572753906</t>
  </si>
  <si>
    <t>188.35423278808594</t>
  </si>
  <si>
    <t>495.1735534667969</t>
  </si>
  <si>
    <t>414.1580505371094</t>
  </si>
  <si>
    <t>618.3900146484375</t>
  </si>
  <si>
    <t>88.42594909667969</t>
  </si>
  <si>
    <t>173.8000030517578</t>
  </si>
  <si>
    <t>175.25250244140625</t>
  </si>
  <si>
    <t>181.4199981689453</t>
  </si>
  <si>
    <t>175.89999389648438</t>
  </si>
  <si>
    <t>146.33038330078125</t>
  </si>
  <si>
    <t>189.45896911621094</t>
  </si>
  <si>
    <t>494.43621826171875</t>
  </si>
  <si>
    <t>418.2170715332031</t>
  </si>
  <si>
    <t>89.36863708496094</t>
  </si>
  <si>
    <t>171.32000732421875</t>
  </si>
  <si>
    <t>179.72999572753906</t>
  </si>
  <si>
    <t>178.14999389648438</t>
  </si>
  <si>
    <t>148.03225708007812</t>
  </si>
  <si>
    <t>191.9421844482422</t>
  </si>
  <si>
    <t>503.6824951171875</t>
  </si>
  <si>
    <t>422.00811767578125</t>
  </si>
  <si>
    <t>627.6900024414062</t>
  </si>
  <si>
    <t>90.34231567382812</t>
  </si>
  <si>
    <t>175.66000366210938</t>
  </si>
  <si>
    <t>170.5646209716797</t>
  </si>
  <si>
    <t>178.67999267578125</t>
  </si>
  <si>
    <t>146.89768981933594</t>
  </si>
  <si>
    <t>194.61117553710938</t>
  </si>
  <si>
    <t>505.91436767578125</t>
  </si>
  <si>
    <t>426.1167297363281</t>
  </si>
  <si>
    <t>622.7100219726562</t>
  </si>
  <si>
    <t>91.40496063232422</t>
  </si>
  <si>
    <t>172.82000732421875</t>
  </si>
  <si>
    <t>171.4703369140625</t>
  </si>
  <si>
    <t>179.64999389648438</t>
  </si>
  <si>
    <t>178.8699951171875</t>
  </si>
  <si>
    <t>150.0526123046875</t>
  </si>
  <si>
    <t>192.22572326660156</t>
  </si>
  <si>
    <t>507.72772216796875</t>
  </si>
  <si>
    <t>425.49151611328125</t>
  </si>
  <si>
    <t>94.25802612304688</t>
  </si>
  <si>
    <t>170.8300018310547</t>
  </si>
  <si>
    <t>170.04708862304688</t>
  </si>
  <si>
    <t>178.6300048828125</t>
  </si>
  <si>
    <t>179.7100067138672</t>
  </si>
  <si>
    <t>149.35594177246094</t>
  </si>
  <si>
    <t>190.46595764160156</t>
  </si>
  <si>
    <t>501.19158935546875</t>
  </si>
  <si>
    <t>419.65606689453125</t>
  </si>
  <si>
    <t>627.4600219726562</t>
  </si>
  <si>
    <t>94.97078704833984</t>
  </si>
  <si>
    <t>172.6300048828125</t>
  </si>
  <si>
    <t>168.91241455078125</t>
  </si>
  <si>
    <t>177.8699951171875</t>
  </si>
  <si>
    <t>178.3000030517578</t>
  </si>
  <si>
    <t>149.9530792236328</t>
  </si>
  <si>
    <t>191.35560607910156</t>
  </si>
  <si>
    <t>494.0875244140625</t>
  </si>
  <si>
    <t>418.4552307128906</t>
  </si>
  <si>
    <t>92.53059387207031</t>
  </si>
  <si>
    <t>177.6699981689453</t>
  </si>
  <si>
    <t>172.49549865722656</t>
  </si>
  <si>
    <t>179.58999633789062</t>
  </si>
  <si>
    <t>179.8300018310547</t>
  </si>
  <si>
    <t>150.15211486816406</t>
  </si>
  <si>
    <t>195.06089782714844</t>
  </si>
  <si>
    <t>492.06488037109375</t>
  </si>
  <si>
    <t>418.23687744140625</t>
  </si>
  <si>
    <t>90.22034454345703</t>
  </si>
  <si>
    <t>170.67410278320312</t>
  </si>
  <si>
    <t>180.49000549316406</t>
  </si>
  <si>
    <t>180.3800048828125</t>
  </si>
  <si>
    <t>150.2118377685547</t>
  </si>
  <si>
    <t>417.53228759765625</t>
  </si>
  <si>
    <t>607.3300170898438</t>
  </si>
  <si>
    <t>175.7899932861328</t>
  </si>
  <si>
    <t>169.2309112548828</t>
  </si>
  <si>
    <t>183.33999633789062</t>
  </si>
  <si>
    <t>180.97000122070312</t>
  </si>
  <si>
    <t>154.7501678466797</t>
  </si>
  <si>
    <t>194.49386596679688</t>
  </si>
  <si>
    <t>489.5639953613281</t>
  </si>
  <si>
    <t>421.3531188964844</t>
  </si>
  <si>
    <t>614.3099975585938</t>
  </si>
  <si>
    <t>90.33331298828125</t>
  </si>
  <si>
    <t>175.22000122070312</t>
  </si>
  <si>
    <t>168.0465087890625</t>
  </si>
  <si>
    <t>180.69000244140625</t>
  </si>
  <si>
    <t>153.82456970214844</t>
  </si>
  <si>
    <t>194.41566467285156</t>
  </si>
  <si>
    <t>495.5621337890625</t>
  </si>
  <si>
    <t>418.2468566894531</t>
  </si>
  <si>
    <t>614.2100219726562</t>
  </si>
  <si>
    <t>89.42261505126953</t>
  </si>
  <si>
    <t>166.6300048828125</t>
  </si>
  <si>
    <t>168.8527069091797</t>
  </si>
  <si>
    <t>180.77000427246094</t>
  </si>
  <si>
    <t>182.41000366210938</t>
  </si>
  <si>
    <t>154.18284606933594</t>
  </si>
  <si>
    <t>504.8980712890625</t>
  </si>
  <si>
    <t>417.26434326171875</t>
  </si>
  <si>
    <t>630.0800170898438</t>
  </si>
  <si>
    <t>88.93477630615234</t>
  </si>
  <si>
    <t>168.3800048828125</t>
  </si>
  <si>
    <t>165.8300018310547</t>
  </si>
  <si>
    <t>149.81375122070312</t>
  </si>
  <si>
    <t>192.3931427001953</t>
  </si>
  <si>
    <t>509.0628662109375</t>
  </si>
  <si>
    <t>414.71380615234375</t>
  </si>
  <si>
    <t>617.1400146484375</t>
  </si>
  <si>
    <t>85.87677764892578</t>
  </si>
  <si>
    <t>171.11000061035156</t>
  </si>
  <si>
    <t>168.7830352783203</t>
  </si>
  <si>
    <t>170.4199981689453</t>
  </si>
  <si>
    <t>185.07000732421875</t>
  </si>
  <si>
    <t>151.7743682861328</t>
  </si>
  <si>
    <t>194.16317749023438</t>
  </si>
  <si>
    <t>525.4231567382812</t>
  </si>
  <si>
    <t>422.2959289550781</t>
  </si>
  <si>
    <t>636.1799926757812</t>
  </si>
  <si>
    <t>87.97909545898438</t>
  </si>
  <si>
    <t>164.89999389648438</t>
  </si>
  <si>
    <t>167.65835571289062</t>
  </si>
  <si>
    <t>169.89999389648438</t>
  </si>
  <si>
    <t>185.19000244140625</t>
  </si>
  <si>
    <t>154.1132049560547</t>
  </si>
  <si>
    <t>517.3626098632812</t>
  </si>
  <si>
    <t>421.3729553222656</t>
  </si>
  <si>
    <t>628.4099731445312</t>
  </si>
  <si>
    <t>87.10437774658203</t>
  </si>
  <si>
    <t>172.97999572753906</t>
  </si>
  <si>
    <t>168.8726043701172</t>
  </si>
  <si>
    <t>170.77999877929688</t>
  </si>
  <si>
    <t>185.6699981689453</t>
  </si>
  <si>
    <t>155.85487365722656</t>
  </si>
  <si>
    <t>193.86814880371094</t>
  </si>
  <si>
    <t>515.0211791992188</t>
  </si>
  <si>
    <t>423.0501403808594</t>
  </si>
  <si>
    <t>618.2000122070312</t>
  </si>
  <si>
    <t>176.8800048828125</t>
  </si>
  <si>
    <t>166.99148559570312</t>
  </si>
  <si>
    <t>167.13999938964844</t>
  </si>
  <si>
    <t>185.9499969482422</t>
  </si>
  <si>
    <t>155.3970489501953</t>
  </si>
  <si>
    <t>192.2161407470703</t>
  </si>
  <si>
    <t>420.0530700683594</t>
  </si>
  <si>
    <t>618.5800170898438</t>
  </si>
  <si>
    <t>87.01040649414062</t>
  </si>
  <si>
    <t>171.75999450683594</t>
  </si>
  <si>
    <t>174.2173614501953</t>
  </si>
  <si>
    <t>189.0500030517578</t>
  </si>
  <si>
    <t>158.65150451660156</t>
  </si>
  <si>
    <t>192.17678833007812</t>
  </si>
  <si>
    <t>424.68768310546875</t>
  </si>
  <si>
    <t>90.58623504638672</t>
  </si>
  <si>
    <t>174.60000610351562</t>
  </si>
  <si>
    <t>175.72027587890625</t>
  </si>
  <si>
    <t>163.27999877929688</t>
  </si>
  <si>
    <t>186.1300048828125</t>
  </si>
  <si>
    <t>156.97947692871094</t>
  </si>
  <si>
    <t>179.7471923828125</t>
  </si>
  <si>
    <t>622.8300170898438</t>
  </si>
  <si>
    <t>88.15703582763672</t>
  </si>
  <si>
    <t>171.0500030517578</t>
  </si>
  <si>
    <t>160.32000732421875</t>
  </si>
  <si>
    <t>183.6199951171875</t>
  </si>
  <si>
    <t>154.12313842773438</t>
  </si>
  <si>
    <t>179.84555053710938</t>
  </si>
  <si>
    <t>498.4117736816406</t>
  </si>
  <si>
    <t>607.1500244140625</t>
  </si>
  <si>
    <t>85.97274017333984</t>
  </si>
  <si>
    <t>161.47999572753906</t>
  </si>
  <si>
    <t>163.4600067138672</t>
  </si>
  <si>
    <t>183.32000732421875</t>
  </si>
  <si>
    <t>153.6653289794922</t>
  </si>
  <si>
    <t>177.79034423828125</t>
  </si>
  <si>
    <t>497.9434509277344</t>
  </si>
  <si>
    <t>411.4388122558594</t>
  </si>
  <si>
    <t>87.38628387451172</t>
  </si>
  <si>
    <t>157.11000061035156</t>
  </si>
  <si>
    <t>167.21046447753906</t>
  </si>
  <si>
    <t>154.02000427246094</t>
  </si>
  <si>
    <t>181.27999877929688</t>
  </si>
  <si>
    <t>154.73023986816406</t>
  </si>
  <si>
    <t>177.08233642578125</t>
  </si>
  <si>
    <t>492.3738098144531</t>
  </si>
  <si>
    <t>408.7195739746094</t>
  </si>
  <si>
    <t>613.6900024414062</t>
  </si>
  <si>
    <t>84.00739288330078</t>
  </si>
  <si>
    <t>155.4499969482422</t>
  </si>
  <si>
    <t>166.2549591064453</t>
  </si>
  <si>
    <t>155.0800018310547</t>
  </si>
  <si>
    <t>179.22000122070312</t>
  </si>
  <si>
    <t>155.2676544189453</t>
  </si>
  <si>
    <t>178.23284912109375</t>
  </si>
  <si>
    <t>499.9760437011719</t>
  </si>
  <si>
    <t>401.2069091796875</t>
  </si>
  <si>
    <t>610.5599975585938</t>
  </si>
  <si>
    <t>84.64318084716797</t>
  </si>
  <si>
    <t>164.2245635986328</t>
  </si>
  <si>
    <t>146.63999938964844</t>
  </si>
  <si>
    <t>174.6300048828125</t>
  </si>
  <si>
    <t>153.35679626464844</t>
  </si>
  <si>
    <t>182.7071075439453</t>
  </si>
  <si>
    <t>479.32135009765625</t>
  </si>
  <si>
    <t>555.0399780273438</t>
  </si>
  <si>
    <t>76.17497253417969</t>
  </si>
  <si>
    <t>147.0500030517578</t>
  </si>
  <si>
    <t>165.06060791015625</t>
  </si>
  <si>
    <t>148.63999938964844</t>
  </si>
  <si>
    <t>177.22999572753906</t>
  </si>
  <si>
    <t>155.53639221191406</t>
  </si>
  <si>
    <t>186.2570037841797</t>
  </si>
  <si>
    <t>479.9789733886719</t>
  </si>
  <si>
    <t>397.9219970703125</t>
  </si>
  <si>
    <t>554.5999755859375</t>
  </si>
  <si>
    <t>79.49188232421875</t>
  </si>
  <si>
    <t>142.0500030517578</t>
  </si>
  <si>
    <t>166.11561584472656</t>
  </si>
  <si>
    <t>152.27000427246094</t>
  </si>
  <si>
    <t>179.5399932861328</t>
  </si>
  <si>
    <t>157.50697326660156</t>
  </si>
  <si>
    <t>188.94155883789062</t>
  </si>
  <si>
    <t>494.2967529296875</t>
  </si>
  <si>
    <t>82.39592742919922</t>
  </si>
  <si>
    <t>144.67999267578125</t>
  </si>
  <si>
    <t>168.2256622314453</t>
  </si>
  <si>
    <t>151.74000549316406</t>
  </si>
  <si>
    <t>176.58999633789062</t>
  </si>
  <si>
    <t>158.37283325195312</t>
  </si>
  <si>
    <t>189.8659210205078</t>
  </si>
  <si>
    <t>491.7061767578125</t>
  </si>
  <si>
    <t>405.9606018066406</t>
  </si>
  <si>
    <t>555.1199951171875</t>
  </si>
  <si>
    <t>79.65082550048828</t>
  </si>
  <si>
    <t>162.1300048828125</t>
  </si>
  <si>
    <t>169.09158325195312</t>
  </si>
  <si>
    <t>153.75999450683594</t>
  </si>
  <si>
    <t>173.6699981689453</t>
  </si>
  <si>
    <t>155.25772094726562</t>
  </si>
  <si>
    <t>190.1510772705078</t>
  </si>
  <si>
    <t>396.01654052734375</t>
  </si>
  <si>
    <t>564.7999877929688</t>
  </si>
  <si>
    <t>170.17999267578125</t>
  </si>
  <si>
    <t>168.5043487548828</t>
  </si>
  <si>
    <t>157.39999389648438</t>
  </si>
  <si>
    <t>179.6199951171875</t>
  </si>
  <si>
    <t>190.26910400390625</t>
  </si>
  <si>
    <t>403.24139404296875</t>
  </si>
  <si>
    <t>87.70619201660156</t>
  </si>
  <si>
    <t>168.2899932861328</t>
  </si>
  <si>
    <t>172.6846160888672</t>
  </si>
  <si>
    <t>160.1999969482422</t>
  </si>
  <si>
    <t>180.9600067138672</t>
  </si>
  <si>
    <t>165.3594207763672</t>
  </si>
  <si>
    <t>190.06259155273438</t>
  </si>
  <si>
    <t>431.0474853515625</t>
  </si>
  <si>
    <t>399.20220947265625</t>
  </si>
  <si>
    <t>87.72816467285156</t>
  </si>
  <si>
    <t>194.0500030517578</t>
  </si>
  <si>
    <t>169.52951049804688</t>
  </si>
  <si>
    <t>158.3800048828125</t>
  </si>
  <si>
    <t>162.00546264648438</t>
  </si>
  <si>
    <t>188.54823303222656</t>
  </si>
  <si>
    <t>428.6064147949219</t>
  </si>
  <si>
    <t>386.3800964355469</t>
  </si>
  <si>
    <t>550.6400146484375</t>
  </si>
  <si>
    <t>86.37362670898438</t>
  </si>
  <si>
    <t>183.27999877929688</t>
  </si>
  <si>
    <t>144.27000427246094</t>
  </si>
  <si>
    <t>188.66622924804688</t>
  </si>
  <si>
    <t>437.5935974121094</t>
  </si>
  <si>
    <t>391.9476013183594</t>
  </si>
  <si>
    <t>551.7100219726562</t>
  </si>
  <si>
    <t>83.01371765136719</t>
  </si>
  <si>
    <t>179.99000549316406</t>
  </si>
  <si>
    <t>172.21682739257812</t>
  </si>
  <si>
    <t>146.16000366210938</t>
  </si>
  <si>
    <t>184.72000122070312</t>
  </si>
  <si>
    <t>165.82717895507812</t>
  </si>
  <si>
    <t>188.4695587158203</t>
  </si>
  <si>
    <t>440.0745849609375</t>
  </si>
  <si>
    <t>394.8256530761719</t>
  </si>
  <si>
    <t>565.1500244140625</t>
  </si>
  <si>
    <t>85.78881072998047</t>
  </si>
  <si>
    <t>180.00999450683594</t>
  </si>
  <si>
    <t>182.51817321777344</t>
  </si>
  <si>
    <t>150.60000610351562</t>
  </si>
  <si>
    <t>186.2100067138672</t>
  </si>
  <si>
    <t>166.44424438476562</t>
  </si>
  <si>
    <t>187.3386993408203</t>
  </si>
  <si>
    <t>450.3171691894531</t>
  </si>
  <si>
    <t>403.57879638671875</t>
  </si>
  <si>
    <t>579.3400268554688</t>
  </si>
  <si>
    <t>88.75983428955078</t>
  </si>
  <si>
    <t>181.19000244140625</t>
  </si>
  <si>
    <t>180.8560333251953</t>
  </si>
  <si>
    <t>155.77999877929688</t>
  </si>
  <si>
    <t>188.6999969482422</t>
  </si>
  <si>
    <t>167.30015563964844</t>
  </si>
  <si>
    <t>188.80389404296875</t>
  </si>
  <si>
    <t>410.4067077636719</t>
  </si>
  <si>
    <t>92.10972595214844</t>
  </si>
  <si>
    <t>184.75999450683594</t>
  </si>
  <si>
    <t>181.5428009033203</t>
  </si>
  <si>
    <t>154.42999267578125</t>
  </si>
  <si>
    <t>188.75999450683594</t>
  </si>
  <si>
    <t>170.43515014648438</t>
  </si>
  <si>
    <t>188.5580596923828</t>
  </si>
  <si>
    <t>466.5379943847656</t>
  </si>
  <si>
    <t>90.52425384521484</t>
  </si>
  <si>
    <t>177.80999755859375</t>
  </si>
  <si>
    <t>181.88119506835938</t>
  </si>
  <si>
    <t>153.6199951171875</t>
  </si>
  <si>
    <t>168.57406616210938</t>
  </si>
  <si>
    <t>470.8821716308594</t>
  </si>
  <si>
    <t>174.72000122070312</t>
  </si>
  <si>
    <t>183.70260620117188</t>
  </si>
  <si>
    <t>152.38999938964844</t>
  </si>
  <si>
    <t>169.15130615234375</t>
  </si>
  <si>
    <t>194.21234130859375</t>
  </si>
  <si>
    <t>473.69195556640625</t>
  </si>
  <si>
    <t>409.1959228515625</t>
  </si>
  <si>
    <t>612.0900268554688</t>
  </si>
  <si>
    <t>88.71784973144531</t>
  </si>
  <si>
    <t>171.97000122070312</t>
  </si>
  <si>
    <t>182.4368438720703</t>
  </si>
  <si>
    <t>151.9199981689453</t>
  </si>
  <si>
    <t>187.47999572753906</t>
  </si>
  <si>
    <t>167.84751892089844</t>
  </si>
  <si>
    <t>195.46121215820312</t>
  </si>
  <si>
    <t>474.4691162109375</t>
  </si>
  <si>
    <t>411.5975646972656</t>
  </si>
  <si>
    <t>610.8699951171875</t>
  </si>
  <si>
    <t>89.84847259521484</t>
  </si>
  <si>
    <t>168.47000122070312</t>
  </si>
  <si>
    <t>185.65603637695312</t>
  </si>
  <si>
    <t>150.55999755859375</t>
  </si>
  <si>
    <t>186.57000732421875</t>
  </si>
  <si>
    <t>168.33517456054688</t>
  </si>
  <si>
    <t>195.42185974121094</t>
  </si>
  <si>
    <t>466.3088684082031</t>
  </si>
  <si>
    <t>410.5853271484375</t>
  </si>
  <si>
    <t>616.5900268554688</t>
  </si>
  <si>
    <t>90.36930847167969</t>
  </si>
  <si>
    <t>171.88999938964844</t>
  </si>
  <si>
    <t>186.8021697998047</t>
  </si>
  <si>
    <t>187.07000732421875</t>
  </si>
  <si>
    <t>169.52947998046875</t>
  </si>
  <si>
    <t>198.15557861328125</t>
  </si>
  <si>
    <t>470.1348876953125</t>
  </si>
  <si>
    <t>613.6599731445312</t>
  </si>
  <si>
    <t>91.32599639892578</t>
  </si>
  <si>
    <t>177.5500030517578</t>
  </si>
  <si>
    <t>189.08450317382812</t>
  </si>
  <si>
    <t>159.6699981689453</t>
  </si>
  <si>
    <t>185.99000549316406</t>
  </si>
  <si>
    <t>171.6891632080078</t>
  </si>
  <si>
    <t>479.7896728515625</t>
  </si>
  <si>
    <t>420.6317443847656</t>
  </si>
  <si>
    <t>173.99000549316406</t>
  </si>
  <si>
    <t>162.6199951171875</t>
  </si>
  <si>
    <t>183.6300048828125</t>
  </si>
  <si>
    <t>173.3511962890625</t>
  </si>
  <si>
    <t>471.5098571777344</t>
  </si>
  <si>
    <t>418.5538330078125</t>
  </si>
  <si>
    <t>174.83999633789062</t>
  </si>
  <si>
    <t>189.2340087890625</t>
  </si>
  <si>
    <t>164.47000122070312</t>
  </si>
  <si>
    <t>184.6999969482422</t>
  </si>
  <si>
    <t>175.22227478027344</t>
  </si>
  <si>
    <t>201.3809814453125</t>
  </si>
  <si>
    <t>470.1946716308594</t>
  </si>
  <si>
    <t>621.0999755859375</t>
  </si>
  <si>
    <t>177.4600067138672</t>
  </si>
  <si>
    <t>190.4000701904297</t>
  </si>
  <si>
    <t>166.3300018310547</t>
  </si>
  <si>
    <t>183.5399932861328</t>
  </si>
  <si>
    <t>176.07818603515625</t>
  </si>
  <si>
    <t>192.3242950439453</t>
  </si>
  <si>
    <t>467.1358337402344</t>
  </si>
  <si>
    <t>640.8200073242188</t>
  </si>
  <si>
    <t>94.74887084960938</t>
  </si>
  <si>
    <t>174.9499969482422</t>
  </si>
  <si>
    <t>191.70570373535156</t>
  </si>
  <si>
    <t>164.66000366210938</t>
  </si>
  <si>
    <t>183.14999389648438</t>
  </si>
  <si>
    <t>177.00375366210938</t>
  </si>
  <si>
    <t>196.19871520996094</t>
  </si>
  <si>
    <t>462.9411315917969</t>
  </si>
  <si>
    <t>426.5572509765625</t>
  </si>
  <si>
    <t>650.6099853515625</t>
  </si>
  <si>
    <t>95.35466766357422</t>
  </si>
  <si>
    <t>186.60000610351562</t>
  </si>
  <si>
    <t>190.26055908203125</t>
  </si>
  <si>
    <t>165.52000427246094</t>
  </si>
  <si>
    <t>183.1300048828125</t>
  </si>
  <si>
    <t>175.54075622558594</t>
  </si>
  <si>
    <t>195.00885009765625</t>
  </si>
  <si>
    <t>466.07965087890625</t>
  </si>
  <si>
    <t>428.0287170410156</t>
  </si>
  <si>
    <t>94.91880798339844</t>
  </si>
  <si>
    <t>180.11000061035156</t>
  </si>
  <si>
    <t>186.2540283203125</t>
  </si>
  <si>
    <t>160.42999267578125</t>
  </si>
  <si>
    <t>181.0500030517578</t>
  </si>
  <si>
    <t>172.72422790527344</t>
  </si>
  <si>
    <t>193.64198303222656</t>
  </si>
  <si>
    <t>464.08697509765625</t>
  </si>
  <si>
    <t>635.6699829101562</t>
  </si>
  <si>
    <t>103.7649154663086</t>
  </si>
  <si>
    <t>173.74000549316406</t>
  </si>
  <si>
    <t>189.3436279296875</t>
  </si>
  <si>
    <t>166.36000061035156</t>
  </si>
  <si>
    <t>174.15736389160156</t>
  </si>
  <si>
    <t>476.48175048828125</t>
  </si>
  <si>
    <t>427.6707763671875</t>
  </si>
  <si>
    <t>106.43402862548828</t>
  </si>
  <si>
    <t>179.24000549316406</t>
  </si>
  <si>
    <t>189.35360717773438</t>
  </si>
  <si>
    <t>171.61000061035156</t>
  </si>
  <si>
    <t>182.14999389648438</t>
  </si>
  <si>
    <t>175.56065368652344</t>
  </si>
  <si>
    <t>196.1790313720703</t>
  </si>
  <si>
    <t>478.17559814453125</t>
  </si>
  <si>
    <t>427.8298645019531</t>
  </si>
  <si>
    <t>113.86357879638672</t>
  </si>
  <si>
    <t>165.13999938964844</t>
  </si>
  <si>
    <t>182.02000427246094</t>
  </si>
  <si>
    <t>175.0630340576172</t>
  </si>
  <si>
    <t>194.8121795654297</t>
  </si>
  <si>
    <t>654.6199951171875</t>
  </si>
  <si>
    <t>114.78727722167969</t>
  </si>
  <si>
    <t>176.19000244140625</t>
  </si>
  <si>
    <t>190.6492462158203</t>
  </si>
  <si>
    <t>179.32000732421875</t>
  </si>
  <si>
    <t>171.29107666015625</t>
  </si>
  <si>
    <t>196.01187133789062</t>
  </si>
  <si>
    <t>465.3523254394531</t>
  </si>
  <si>
    <t>412.2704162597656</t>
  </si>
  <si>
    <t>647.6599731445312</t>
  </si>
  <si>
    <t>110.46369171142578</t>
  </si>
  <si>
    <t>178.7899932861328</t>
  </si>
  <si>
    <t>191.6060333251953</t>
  </si>
  <si>
    <t>166.89999389648438</t>
  </si>
  <si>
    <t>176.44000244140625</t>
  </si>
  <si>
    <t>199.25694274902344</t>
  </si>
  <si>
    <t>465.13311767578125</t>
  </si>
  <si>
    <t>412.7277526855469</t>
  </si>
  <si>
    <t>641.6199951171875</t>
  </si>
  <si>
    <t>109.59699249267578</t>
  </si>
  <si>
    <t>178.0800018310547</t>
  </si>
  <si>
    <t>193.38006591796875</t>
  </si>
  <si>
    <t>163.5500030517578</t>
  </si>
  <si>
    <t>178.33999633789062</t>
  </si>
  <si>
    <t>172.3460235595703</t>
  </si>
  <si>
    <t>411.1270446777344</t>
  </si>
  <si>
    <t>633.7899780273438</t>
  </si>
  <si>
    <t>114.96221923828125</t>
  </si>
  <si>
    <t>176.2899932861328</t>
  </si>
  <si>
    <t>193.69900512695312</t>
  </si>
  <si>
    <t>159.99000549316406</t>
  </si>
  <si>
    <t>179.33999633789062</t>
  </si>
  <si>
    <t>172.96307373046875</t>
  </si>
  <si>
    <t>195.84471130371094</t>
  </si>
  <si>
    <t>475.2561950683594</t>
  </si>
  <si>
    <t>413.6623229980469</t>
  </si>
  <si>
    <t>631.6199951171875</t>
  </si>
  <si>
    <t>116.39875030517578</t>
  </si>
  <si>
    <t>174.77000427246094</t>
  </si>
  <si>
    <t>195.21389770507812</t>
  </si>
  <si>
    <t>166.1699981689453</t>
  </si>
  <si>
    <t>174.57537841796875</t>
  </si>
  <si>
    <t>193.97633361816406</t>
  </si>
  <si>
    <t>493.2605285644531</t>
  </si>
  <si>
    <t>421.5563659667969</t>
  </si>
  <si>
    <t>122.3997802734375</t>
  </si>
  <si>
    <t>193.8285369873047</t>
  </si>
  <si>
    <t>166.77999877929688</t>
  </si>
  <si>
    <t>175.88906860351562</t>
  </si>
  <si>
    <t>193.63217163085938</t>
  </si>
  <si>
    <t>491.96527099609375</t>
  </si>
  <si>
    <t>422.0633850097656</t>
  </si>
  <si>
    <t>177.94000244140625</t>
  </si>
  <si>
    <t>196.23048400878906</t>
  </si>
  <si>
    <t>167.8699951171875</t>
  </si>
  <si>
    <t>184.3000030517578</t>
  </si>
  <si>
    <t>196.62156677246094</t>
  </si>
  <si>
    <t>491.16815185546875</t>
  </si>
  <si>
    <t>421.3973083496094</t>
  </si>
  <si>
    <t>120.8482894897461</t>
  </si>
  <si>
    <t>177.47999572753906</t>
  </si>
  <si>
    <t>192.4730987548828</t>
  </si>
  <si>
    <t>160.33999633789062</t>
  </si>
  <si>
    <t>174.37716674804688</t>
  </si>
  <si>
    <t>196.2872314453125</t>
  </si>
  <si>
    <t>500.77313232421875</t>
  </si>
  <si>
    <t>425.3940124511719</t>
  </si>
  <si>
    <t>121.74999237060547</t>
  </si>
  <si>
    <t>173.7899932861328</t>
  </si>
  <si>
    <t>206.4561004638672</t>
  </si>
  <si>
    <t>158.9600067138672</t>
  </si>
  <si>
    <t>187.22999572753906</t>
  </si>
  <si>
    <t>175.98135375976562</t>
  </si>
  <si>
    <t>191.12461853027344</t>
  </si>
  <si>
    <t>505.62542724609375</t>
  </si>
  <si>
    <t>430.1761779785156</t>
  </si>
  <si>
    <t>648.5499877929688</t>
  </si>
  <si>
    <t>120.88021850585938</t>
  </si>
  <si>
    <t>170.66000366210938</t>
  </si>
  <si>
    <t>212.35630798339844</t>
  </si>
  <si>
    <t>160.24000549316406</t>
  </si>
  <si>
    <t>186.88999938964844</t>
  </si>
  <si>
    <t>177.14710998535156</t>
  </si>
  <si>
    <t>188.3417205810547</t>
  </si>
  <si>
    <t>506.9904479980469</t>
  </si>
  <si>
    <t>438.5076904296875</t>
  </si>
  <si>
    <t>650.0599975585938</t>
  </si>
  <si>
    <t>125.16915130615234</t>
  </si>
  <si>
    <t>177.2899932861328</t>
  </si>
  <si>
    <t>213.52236938476562</t>
  </si>
  <si>
    <t>159.89999389648438</t>
  </si>
  <si>
    <t>183.8300018310547</t>
  </si>
  <si>
    <t>174.52662658691406</t>
  </si>
  <si>
    <t>502.2676696777344</t>
  </si>
  <si>
    <t>439.0246887207031</t>
  </si>
  <si>
    <t>129.5780792236328</t>
  </si>
  <si>
    <t>182.47000122070312</t>
  </si>
  <si>
    <t>211.77822875976562</t>
  </si>
  <si>
    <t>159.6300048828125</t>
  </si>
  <si>
    <t>183.66000366210938</t>
  </si>
  <si>
    <t>176.15072631835938</t>
  </si>
  <si>
    <t>190.55426025390625</t>
  </si>
  <si>
    <t>502.8262023925781</t>
  </si>
  <si>
    <t>440.00897216796875</t>
  </si>
  <si>
    <t>669.3800048828125</t>
  </si>
  <si>
    <t>131.84750366210938</t>
  </si>
  <si>
    <t>178.00999450683594</t>
  </si>
  <si>
    <t>215.94422912597656</t>
  </si>
  <si>
    <t>158.39999389648438</t>
  </si>
  <si>
    <t>184.05999755859375</t>
  </si>
  <si>
    <t>191.73428344726562</t>
  </si>
  <si>
    <t>505.2896423339844</t>
  </si>
  <si>
    <t>675.8300170898438</t>
  </si>
  <si>
    <t>130.94773864746094</t>
  </si>
  <si>
    <t>187.44000244140625</t>
  </si>
  <si>
    <t>213.5721893310547</t>
  </si>
  <si>
    <t>154.6300048828125</t>
  </si>
  <si>
    <t>182.80999755859375</t>
  </si>
  <si>
    <t>174.45687866210938</t>
  </si>
  <si>
    <t>193.72067260742188</t>
  </si>
  <si>
    <t>498.16851806640625</t>
  </si>
  <si>
    <t>443.75714111328125</t>
  </si>
  <si>
    <t>685.6699829101562</t>
  </si>
  <si>
    <t>135.54660034179688</t>
  </si>
  <si>
    <t>184.86000061035156</t>
  </si>
  <si>
    <t>208.97763061523438</t>
  </si>
  <si>
    <t>161.77999877929688</t>
  </si>
  <si>
    <t>186.10000610351562</t>
  </si>
  <si>
    <t>175.66250610351562</t>
  </si>
  <si>
    <t>195.36285400390625</t>
  </si>
  <si>
    <t>500.3727111816406</t>
  </si>
  <si>
    <t>443.1208801269531</t>
  </si>
  <si>
    <t>130.74777221679688</t>
  </si>
  <si>
    <t>181.57000732421875</t>
  </si>
  <si>
    <t>206.7949981689453</t>
  </si>
  <si>
    <t>161.22999572753906</t>
  </si>
  <si>
    <t>189.0800018310547</t>
  </si>
  <si>
    <t>178.98048400878906</t>
  </si>
  <si>
    <t>193.03231811523438</t>
  </si>
  <si>
    <t>493.47100830078125</t>
  </si>
  <si>
    <t>686.1199951171875</t>
  </si>
  <si>
    <t>126.53881072998047</t>
  </si>
  <si>
    <t>183.00999450683594</t>
  </si>
  <si>
    <t>207.4427947998047</t>
  </si>
  <si>
    <t>185.57000732421875</t>
  </si>
  <si>
    <t>178.5719451904297</t>
  </si>
  <si>
    <t>195.56936645507812</t>
  </si>
  <si>
    <t>445.0794677734375</t>
  </si>
  <si>
    <t>118.08089447021484</t>
  </si>
  <si>
    <t>182.5800018310547</t>
  </si>
  <si>
    <t>208.36968994140625</t>
  </si>
  <si>
    <t>186.33999633789062</t>
  </si>
  <si>
    <t>183.36456298828125</t>
  </si>
  <si>
    <t>194.77285766601562</t>
  </si>
  <si>
    <t>509.2491760253906</t>
  </si>
  <si>
    <t>448.3404541015625</t>
  </si>
  <si>
    <t>672.4099731445312</t>
  </si>
  <si>
    <t>126.05892944335938</t>
  </si>
  <si>
    <t>187.35000610351562</t>
  </si>
  <si>
    <t>212.5356903076172</t>
  </si>
  <si>
    <t>157.5399932861328</t>
  </si>
  <si>
    <t>193.61000061035156</t>
  </si>
  <si>
    <t>183.21510314941406</t>
  </si>
  <si>
    <t>194.1435089111328</t>
  </si>
  <si>
    <t>511.7624816894531</t>
  </si>
  <si>
    <t>677.6900024414062</t>
  </si>
  <si>
    <t>126.36885070800781</t>
  </si>
  <si>
    <t>196.3699951171875</t>
  </si>
  <si>
    <t>213.3828582763672</t>
  </si>
  <si>
    <t>159.47000122070312</t>
  </si>
  <si>
    <t>197.85000610351562</t>
  </si>
  <si>
    <t>184.73956298828125</t>
  </si>
  <si>
    <t>195.85455322265625</t>
  </si>
  <si>
    <t>518.1854248046875</t>
  </si>
  <si>
    <t>450.2294616699219</t>
  </si>
  <si>
    <t>684.3400268554688</t>
  </si>
  <si>
    <t>123.95944213867188</t>
  </si>
  <si>
    <t>197.4199981689453</t>
  </si>
  <si>
    <t>209.91448974609375</t>
  </si>
  <si>
    <t>162.2100067138672</t>
  </si>
  <si>
    <t>181.49134826660156</t>
  </si>
  <si>
    <t>198.89309692382812</t>
  </si>
  <si>
    <t>502.8860168457031</t>
  </si>
  <si>
    <t>444.3636169433594</t>
  </si>
  <si>
    <t>674.8800048828125</t>
  </si>
  <si>
    <t>123.50955963134766</t>
  </si>
  <si>
    <t>197.8800048828125</t>
  </si>
  <si>
    <t>216.02395629882812</t>
  </si>
  <si>
    <t>157.69000244140625</t>
  </si>
  <si>
    <t>197.1999969482422</t>
  </si>
  <si>
    <t>182.32830810546875</t>
  </si>
  <si>
    <t>202.02999877929688</t>
  </si>
  <si>
    <t>503.34478759765625</t>
  </si>
  <si>
    <t>454.0870056152344</t>
  </si>
  <si>
    <t>673.6099853515625</t>
  </si>
  <si>
    <t>124.26937866210938</t>
  </si>
  <si>
    <t>209.86000061035156</t>
  </si>
  <si>
    <t>219.53216552734375</t>
  </si>
  <si>
    <t>164.30999755859375</t>
  </si>
  <si>
    <t>184.5701904296875</t>
  </si>
  <si>
    <t>205.35374450683594</t>
  </si>
  <si>
    <t>508.1520690917969</t>
  </si>
  <si>
    <t>456.62225341796875</t>
  </si>
  <si>
    <t>679.5800170898438</t>
  </si>
  <si>
    <t>122.6397705078125</t>
  </si>
  <si>
    <t>231.25999450683594</t>
  </si>
  <si>
    <t>220.80787658691406</t>
  </si>
  <si>
    <t>163.89999389648438</t>
  </si>
  <si>
    <t>197.58999633789062</t>
  </si>
  <si>
    <t>185.14810180664062</t>
  </si>
  <si>
    <t>205.21607971191406</t>
  </si>
  <si>
    <t>508.6108703613281</t>
  </si>
  <si>
    <t>458.1036376953125</t>
  </si>
  <si>
    <t>128.24839782714844</t>
  </si>
  <si>
    <t>246.38999938964844</t>
  </si>
  <si>
    <t>225.5818328857422</t>
  </si>
  <si>
    <t>171.89999389648438</t>
  </si>
  <si>
    <t>189.9108123779297</t>
  </si>
  <si>
    <t>202.49685668945312</t>
  </si>
  <si>
    <t>538.4815673828125</t>
  </si>
  <si>
    <t>464.8543395996094</t>
  </si>
  <si>
    <t>690.6500244140625</t>
  </si>
  <si>
    <t>125.79900360107422</t>
  </si>
  <si>
    <t>251.52000427246094</t>
  </si>
  <si>
    <t>178.69000244140625</t>
  </si>
  <si>
    <t>199.2899932861328</t>
  </si>
  <si>
    <t>188.34646606445312</t>
  </si>
  <si>
    <t>202.8726043701172</t>
  </si>
  <si>
    <t>527.9196166992188</t>
  </si>
  <si>
    <t>128.16839599609375</t>
  </si>
  <si>
    <t>252.94000244140625</t>
  </si>
  <si>
    <t>227.9139862060547</t>
  </si>
  <si>
    <t>177.10000610351562</t>
  </si>
  <si>
    <t>199.33999633789062</t>
  </si>
  <si>
    <t>188.29664611816406</t>
  </si>
  <si>
    <t>205.30506896972656</t>
  </si>
  <si>
    <t>528.5978393554688</t>
  </si>
  <si>
    <t>456.8807678222656</t>
  </si>
  <si>
    <t>131.34764099121094</t>
  </si>
  <si>
    <t>262.3299865722656</t>
  </si>
  <si>
    <t>232.1995849609375</t>
  </si>
  <si>
    <t>183.9600067138672</t>
  </si>
  <si>
    <t>199.7899932861328</t>
  </si>
  <si>
    <t>190.48870849609375</t>
  </si>
  <si>
    <t>205.47315979003906</t>
  </si>
  <si>
    <t>463.55194091796875</t>
  </si>
  <si>
    <t>677.6500244140625</t>
  </si>
  <si>
    <t>134.87677001953125</t>
  </si>
  <si>
    <t>226.80772399902344</t>
  </si>
  <si>
    <t>181.94000244140625</t>
  </si>
  <si>
    <t>195.0500030517578</t>
  </si>
  <si>
    <t>184.89898681640625</t>
  </si>
  <si>
    <t>205.1270751953125</t>
  </si>
  <si>
    <t>511.3436279296875</t>
  </si>
  <si>
    <t>452.06878662109375</t>
  </si>
  <si>
    <t>127.36860656738281</t>
  </si>
  <si>
    <t>241.02999877929688</t>
  </si>
  <si>
    <t>229.76776123046875</t>
  </si>
  <si>
    <t>181.61000061035156</t>
  </si>
  <si>
    <t>194.49000549316406</t>
  </si>
  <si>
    <t>184.4008026123047</t>
  </si>
  <si>
    <t>202.64517211914062</t>
  </si>
  <si>
    <t>497.5502014160156</t>
  </si>
  <si>
    <t>450.9254150390625</t>
  </si>
  <si>
    <t>647.5999755859375</t>
  </si>
  <si>
    <t>129.20816040039062</t>
  </si>
  <si>
    <t>248.22999572753906</t>
  </si>
  <si>
    <t>233.61483764648438</t>
  </si>
  <si>
    <t>192.72000122070312</t>
  </si>
  <si>
    <t>185.8555145263672</t>
  </si>
  <si>
    <t>207.69796752929688</t>
  </si>
  <si>
    <t>494.84735107421875</t>
  </si>
  <si>
    <t>451.3330383300781</t>
  </si>
  <si>
    <t>656.4500122070312</t>
  </si>
  <si>
    <t>128.40835571289062</t>
  </si>
  <si>
    <t>252.63999938964844</t>
  </si>
  <si>
    <t>193.02000427246094</t>
  </si>
  <si>
    <t>183.25494384765625</t>
  </si>
  <si>
    <t>211.22799682617188</t>
  </si>
  <si>
    <t>488.4942321777344</t>
  </si>
  <si>
    <t>446.91876220703125</t>
  </si>
  <si>
    <t>656.3200073242188</t>
  </si>
  <si>
    <t>126.32887268066406</t>
  </si>
  <si>
    <t>256.55999755859375</t>
  </si>
  <si>
    <t>228.1133270263672</t>
  </si>
  <si>
    <t>159.42999267578125</t>
  </si>
  <si>
    <t>187.92999267578125</t>
  </si>
  <si>
    <t>180.36544799804688</t>
  </si>
  <si>
    <t>214.44158935546875</t>
  </si>
  <si>
    <t>460.7677307128906</t>
  </si>
  <si>
    <t>440.9534606933594</t>
  </si>
  <si>
    <t>647.4600219726562</t>
  </si>
  <si>
    <t>117.96092224121094</t>
  </si>
  <si>
    <t>223.42906188964844</t>
  </si>
  <si>
    <t>155.77000427246094</t>
  </si>
  <si>
    <t>177.0474853515625</t>
  </si>
  <si>
    <t>207.6287384033203</t>
  </si>
  <si>
    <t>474.5910949707031</t>
  </si>
  <si>
    <t>437.8216857910156</t>
  </si>
  <si>
    <t>643.0399780273438</t>
  </si>
  <si>
    <t>121.0601577758789</t>
  </si>
  <si>
    <t>249.22999572753906</t>
  </si>
  <si>
    <t>223.5586395263672</t>
  </si>
  <si>
    <t>151.5800018310547</t>
  </si>
  <si>
    <t>207.4309844970703</t>
  </si>
  <si>
    <t>475.52862548828125</t>
  </si>
  <si>
    <t>434.5805358886719</t>
  </si>
  <si>
    <t>633.3400268554688</t>
  </si>
  <si>
    <t>117.90093994140625</t>
  </si>
  <si>
    <t>239.1999969482422</t>
  </si>
  <si>
    <t>223.20982360839844</t>
  </si>
  <si>
    <t>155.8699951171875</t>
  </si>
  <si>
    <t>182.5500030517578</t>
  </si>
  <si>
    <t>181.01309204101562</t>
  </si>
  <si>
    <t>207.92538452148438</t>
  </si>
  <si>
    <t>486.11053466796875</t>
  </si>
  <si>
    <t>440.3768310546875</t>
  </si>
  <si>
    <t>251.50999450683594</t>
  </si>
  <si>
    <t>224.25628662109375</t>
  </si>
  <si>
    <t>186.41000366210938</t>
  </si>
  <si>
    <t>181.1326446533203</t>
  </si>
  <si>
    <t>207.97482299804688</t>
  </si>
  <si>
    <t>487.3971252441406</t>
  </si>
  <si>
    <t>442.2757873535156</t>
  </si>
  <si>
    <t>122.5597915649414</t>
  </si>
  <si>
    <t>246.3800048828125</t>
  </si>
  <si>
    <t>217.8079376220703</t>
  </si>
  <si>
    <t>144.6300048828125</t>
  </si>
  <si>
    <t>180.8300018310547</t>
  </si>
  <si>
    <t>172.0057830810547</t>
  </si>
  <si>
    <t>206.25430297851562</t>
  </si>
  <si>
    <t>460.0496520996094</t>
  </si>
  <si>
    <t>426.4180603027344</t>
  </si>
  <si>
    <t>114.22184753417969</t>
  </si>
  <si>
    <t>215.99000549316406</t>
  </si>
  <si>
    <t>216.76148986816406</t>
  </si>
  <si>
    <t>138.32000732421875</t>
  </si>
  <si>
    <t>179.85000610351562</t>
  </si>
  <si>
    <t>166.6751251220703</t>
  </si>
  <si>
    <t>206.33340454101562</t>
  </si>
  <si>
    <t>415.97882080078125</t>
  </si>
  <si>
    <t>634.0900268554688</t>
  </si>
  <si>
    <t>112.25233459472656</t>
  </si>
  <si>
    <t>217.2299041748047</t>
  </si>
  <si>
    <t>139.99000549316406</t>
  </si>
  <si>
    <t>166.39613342285156</t>
  </si>
  <si>
    <t>209.8634490966797</t>
  </si>
  <si>
    <t>464.46795654296875</t>
  </si>
  <si>
    <t>422.8090515136719</t>
  </si>
  <si>
    <t>631.3699951171875</t>
  </si>
  <si>
    <t>113.03214263916016</t>
  </si>
  <si>
    <t>219.8000030517578</t>
  </si>
  <si>
    <t>217.50897216796875</t>
  </si>
  <si>
    <t>183.1999969482422</t>
  </si>
  <si>
    <t>464.4779052734375</t>
  </si>
  <si>
    <t>424.2606506347656</t>
  </si>
  <si>
    <t>626.9600219726562</t>
  </si>
  <si>
    <t>232.10000610351562</t>
  </si>
  <si>
    <t>218.06710815429688</t>
  </si>
  <si>
    <t>138.44000244140625</t>
  </si>
  <si>
    <t>181.7100067138672</t>
  </si>
  <si>
    <t>169.6742401123047</t>
  </si>
  <si>
    <t>212.78041076660156</t>
  </si>
  <si>
    <t>461.9645690917969</t>
  </si>
  <si>
    <t>420.4726867675781</t>
  </si>
  <si>
    <t>622.5800170898438</t>
  </si>
  <si>
    <t>103.7044448852539</t>
  </si>
  <si>
    <t>222.6199951171875</t>
  </si>
  <si>
    <t>221.3361053466797</t>
  </si>
  <si>
    <t>144.47999572753906</t>
  </si>
  <si>
    <t>186.97999572753906</t>
  </si>
  <si>
    <t>170.91969299316406</t>
  </si>
  <si>
    <t>210.41717529296875</t>
  </si>
  <si>
    <t>473.57379150390625</t>
  </si>
  <si>
    <t>415.9291076660156</t>
  </si>
  <si>
    <t>628.3499755859375</t>
  </si>
  <si>
    <t>116.99115753173828</t>
  </si>
  <si>
    <t>232.07000732421875</t>
  </si>
  <si>
    <t>217.62855529785156</t>
  </si>
  <si>
    <t>132.5399932861328</t>
  </si>
  <si>
    <t>184.07000732421875</t>
  </si>
  <si>
    <t>170.1425323486328</t>
  </si>
  <si>
    <t>205.63137817382812</t>
  </si>
  <si>
    <t>496.4231872558594</t>
  </si>
  <si>
    <t>414.6962585449219</t>
  </si>
  <si>
    <t>624.8499755859375</t>
  </si>
  <si>
    <t>109.18309783935547</t>
  </si>
  <si>
    <t>216.86000061035156</t>
  </si>
  <si>
    <t>219.12355041503906</t>
  </si>
  <si>
    <t>167.89999389648438</t>
  </si>
  <si>
    <t>196.91012573242188</t>
  </si>
  <si>
    <t>486.84857177734375</t>
  </si>
  <si>
    <t>406.12615966796875</t>
  </si>
  <si>
    <t>613.6400146484375</t>
  </si>
  <si>
    <t>107.24356842041016</t>
  </si>
  <si>
    <t>207.6699981689453</t>
  </si>
  <si>
    <t>208.56903076171875</t>
  </si>
  <si>
    <t>134.82000732421875</t>
  </si>
  <si>
    <t>161.02000427246094</t>
  </si>
  <si>
    <t>158.6741485595703</t>
  </si>
  <si>
    <t>192.71759033203125</t>
  </si>
  <si>
    <t>392.8633728027344</t>
  </si>
  <si>
    <t>598.5499877929688</t>
  </si>
  <si>
    <t>100.42524719238281</t>
  </si>
  <si>
    <t>198.8800048828125</t>
  </si>
  <si>
    <t>206.5358428955078</t>
  </si>
  <si>
    <t>130.17999267578125</t>
  </si>
  <si>
    <t>161.92999267578125</t>
  </si>
  <si>
    <t>157.71762084960938</t>
  </si>
  <si>
    <t>492.7828369140625</t>
  </si>
  <si>
    <t>397.29754638671875</t>
  </si>
  <si>
    <t>609.5700073242188</t>
  </si>
  <si>
    <t>104.22430419921875</t>
  </si>
  <si>
    <t>200.63999938964844</t>
  </si>
  <si>
    <t>209.11717224121094</t>
  </si>
  <si>
    <t>128.6699981689453</t>
  </si>
  <si>
    <t>162.77000427246094</t>
  </si>
  <si>
    <t>158.36526489257812</t>
  </si>
  <si>
    <t>487.62652587890625</t>
  </si>
  <si>
    <t>396.1243896484375</t>
  </si>
  <si>
    <t>98.88563537597656</t>
  </si>
  <si>
    <t>191.75999450683594</t>
  </si>
  <si>
    <t>212.59547424316406</t>
  </si>
  <si>
    <t>136.32000732421875</t>
  </si>
  <si>
    <t>165.8000030517578</t>
  </si>
  <si>
    <t>201.77503967285156</t>
  </si>
  <si>
    <t>400.3597106933594</t>
  </si>
  <si>
    <t>630.3499755859375</t>
  </si>
  <si>
    <t>104.94413757324219</t>
  </si>
  <si>
    <t>198.83999633789062</t>
  </si>
  <si>
    <t>215.51568603515625</t>
  </si>
  <si>
    <t>134.27000427246094</t>
  </si>
  <si>
    <t>166.94000244140625</t>
  </si>
  <si>
    <t>163.0781707763672</t>
  </si>
  <si>
    <t>203.4955596923828</t>
  </si>
  <si>
    <t>516.4002075195312</t>
  </si>
  <si>
    <t>403.6704406738281</t>
  </si>
  <si>
    <t>633.9400024414062</t>
  </si>
  <si>
    <t>104.72418975830078</t>
  </si>
  <si>
    <t>217.0522918701172</t>
  </si>
  <si>
    <t>136.77000427246094</t>
  </si>
  <si>
    <t>166.8000030517578</t>
  </si>
  <si>
    <t>161.7031707763672</t>
  </si>
  <si>
    <t>203.88119506835938</t>
  </si>
  <si>
    <t>514.5850219726562</t>
  </si>
  <si>
    <t>404.4559020996094</t>
  </si>
  <si>
    <t>633.1400146484375</t>
  </si>
  <si>
    <t>108.99313354492188</t>
  </si>
  <si>
    <t>197.49000549316406</t>
  </si>
  <si>
    <t>220.78408813476562</t>
  </si>
  <si>
    <t>141.1300048828125</t>
  </si>
  <si>
    <t>170.22999572753906</t>
  </si>
  <si>
    <t>205.61158752441406</t>
  </si>
  <si>
    <t>527.1416625976562</t>
  </si>
  <si>
    <t>411.6142272949219</t>
  </si>
  <si>
    <t>116.11138153076172</t>
  </si>
  <si>
    <t>221.23309326171875</t>
  </si>
  <si>
    <t>170.10000610351562</t>
  </si>
  <si>
    <t>159.79010009765625</t>
  </si>
  <si>
    <t>207.88584899902344</t>
  </si>
  <si>
    <t>525.3663940429688</t>
  </si>
  <si>
    <t>414.4477233886719</t>
  </si>
  <si>
    <t>661.6799926757812</t>
  </si>
  <si>
    <t>118.05091094970703</t>
  </si>
  <si>
    <t>201.3800048828125</t>
  </si>
  <si>
    <t>224.22650146484375</t>
  </si>
  <si>
    <t>147.36000061035156</t>
  </si>
  <si>
    <t>177.58999633789062</t>
  </si>
  <si>
    <t>160.7167510986328</t>
  </si>
  <si>
    <t>209.18118286132812</t>
  </si>
  <si>
    <t>419.34808349609375</t>
  </si>
  <si>
    <t>122.82972717285156</t>
  </si>
  <si>
    <t>214.13999938964844</t>
  </si>
  <si>
    <t>225.5535888671875</t>
  </si>
  <si>
    <t>148.55999755859375</t>
  </si>
  <si>
    <t>177.05999755859375</t>
  </si>
  <si>
    <t>162.37074279785156</t>
  </si>
  <si>
    <t>211.57408142089844</t>
  </si>
  <si>
    <t>526.0245971679688</t>
  </si>
  <si>
    <t>416.7983093261719</t>
  </si>
  <si>
    <t>674.0700073242188</t>
  </si>
  <si>
    <t>124.54930877685547</t>
  </si>
  <si>
    <t>216.1199951171875</t>
  </si>
  <si>
    <t>225.3939208984375</t>
  </si>
  <si>
    <t>155.27999877929688</t>
  </si>
  <si>
    <t>166.0673370361328</t>
  </si>
  <si>
    <t>213.03749084472656</t>
  </si>
  <si>
    <t>527.8797607421875</t>
  </si>
  <si>
    <t>419.8460693359375</t>
  </si>
  <si>
    <t>129.96795654296875</t>
  </si>
  <si>
    <t>222.72000122070312</t>
  </si>
  <si>
    <t>226.0125732421875</t>
  </si>
  <si>
    <t>156.39999389648438</t>
  </si>
  <si>
    <t>178.8800048828125</t>
  </si>
  <si>
    <t>166.5754852294922</t>
  </si>
  <si>
    <t>698.5399780273438</t>
  </si>
  <si>
    <t>127.2186508178711</t>
  </si>
  <si>
    <t>221.10000610351562</t>
  </si>
  <si>
    <t>225.90281677246094</t>
  </si>
  <si>
    <t>157.80999755859375</t>
  </si>
  <si>
    <t>165.2502899169922</t>
  </si>
  <si>
    <t>422.4456787109375</t>
  </si>
  <si>
    <t>697.1199951171875</t>
  </si>
  <si>
    <t>128.46835327148438</t>
  </si>
  <si>
    <t>223.27000427246094</t>
  </si>
  <si>
    <t>224.0369110107422</t>
  </si>
  <si>
    <t>151.6999969482422</t>
  </si>
  <si>
    <t>176.1300048828125</t>
  </si>
  <si>
    <t>163.2077178955078</t>
  </si>
  <si>
    <t>214.20428466796875</t>
  </si>
  <si>
    <t>413.88995361328125</t>
  </si>
  <si>
    <t>688.9600219726562</t>
  </si>
  <si>
    <t>123.70950317382812</t>
  </si>
  <si>
    <t>210.66000366210938</t>
  </si>
  <si>
    <t>226.3418426513672</t>
  </si>
  <si>
    <t>154.97999572753906</t>
  </si>
  <si>
    <t>177.0399932861328</t>
  </si>
  <si>
    <t>165.0211181640625</t>
  </si>
  <si>
    <t>215.86546325683594</t>
  </si>
  <si>
    <t>526.6031494140625</t>
  </si>
  <si>
    <t>415.1250305175781</t>
  </si>
  <si>
    <t>129.33811950683594</t>
  </si>
  <si>
    <t>220.32000732421875</t>
  </si>
  <si>
    <t>226.68109130859375</t>
  </si>
  <si>
    <t>149.99000549316406</t>
  </si>
  <si>
    <t>165.55917358398438</t>
  </si>
  <si>
    <t>216.71585083007812</t>
  </si>
  <si>
    <t>519.7413330078125</t>
  </si>
  <si>
    <t>411.8382263183594</t>
  </si>
  <si>
    <t>688.4400024414062</t>
  </si>
  <si>
    <t>126.42884063720703</t>
  </si>
  <si>
    <t>213.2100067138672</t>
  </si>
  <si>
    <t>227.52923583984375</t>
  </si>
  <si>
    <t>173.1199951171875</t>
  </si>
  <si>
    <t>164.0845184326172</t>
  </si>
  <si>
    <t>217.7145233154297</t>
  </si>
  <si>
    <t>517.7266235351562</t>
  </si>
  <si>
    <t>412.18682861328125</t>
  </si>
  <si>
    <t>128.26840209960938</t>
  </si>
  <si>
    <t>209.2100067138672</t>
  </si>
  <si>
    <t>225.99261474609375</t>
  </si>
  <si>
    <t>146.36000061035156</t>
  </si>
  <si>
    <t>170.8000030517578</t>
  </si>
  <si>
    <t>162.2611541748047</t>
  </si>
  <si>
    <t>218.81210327148438</t>
  </si>
  <si>
    <t>408.9597473144531</t>
  </si>
  <si>
    <t>683.8400268554688</t>
  </si>
  <si>
    <t>125.57905578613281</t>
  </si>
  <si>
    <t>229.28536987304688</t>
  </si>
  <si>
    <t>145.49000549316406</t>
  </si>
  <si>
    <t>172.1199951171875</t>
  </si>
  <si>
    <t>161.19500732421875</t>
  </si>
  <si>
    <t>219.7218017578125</t>
  </si>
  <si>
    <t>516.8489379882812</t>
  </si>
  <si>
    <t>411.4696960449219</t>
  </si>
  <si>
    <t>117.56102752685547</t>
  </si>
  <si>
    <t>206.27999877929688</t>
  </si>
  <si>
    <t>228.49710083007812</t>
  </si>
  <si>
    <t>162.7892303466797</t>
  </si>
  <si>
    <t>222.28280639648438</t>
  </si>
  <si>
    <t>519.9307861328125</t>
  </si>
  <si>
    <t>701.3499755859375</t>
  </si>
  <si>
    <t>119.34059143066406</t>
  </si>
  <si>
    <t>214.11000061035156</t>
  </si>
  <si>
    <t>222.28079223632812</t>
  </si>
  <si>
    <t>136.94000244140625</t>
  </si>
  <si>
    <t>156.79100036621094</t>
  </si>
  <si>
    <t>217.83319091796875</t>
  </si>
  <si>
    <t>510.40606689453125</t>
  </si>
  <si>
    <t>407.80438232421875</t>
  </si>
  <si>
    <t>675.3200073242188</t>
  </si>
  <si>
    <t>210.60000610351562</t>
  </si>
  <si>
    <t>220.36500549316406</t>
  </si>
  <si>
    <t>140.8699951171875</t>
  </si>
  <si>
    <t>173.3300018310547</t>
  </si>
  <si>
    <t>216.87405395507812</t>
  </si>
  <si>
    <t>511.38348388671875</t>
  </si>
  <si>
    <t>407.26654052734375</t>
  </si>
  <si>
    <t>679.6799926757812</t>
  </si>
  <si>
    <t>106.18383026123047</t>
  </si>
  <si>
    <t>219.41000366210938</t>
  </si>
  <si>
    <t>221.8916473388672</t>
  </si>
  <si>
    <t>139.44000244140625</t>
  </si>
  <si>
    <t>177.88999938964844</t>
  </si>
  <si>
    <t>156.6714324951172</t>
  </si>
  <si>
    <t>215.19308471679688</t>
  </si>
  <si>
    <t>515.4926147460938</t>
  </si>
  <si>
    <t>406.75860595703125</t>
  </si>
  <si>
    <t>683.6199951171875</t>
  </si>
  <si>
    <t>107.18358612060547</t>
  </si>
  <si>
    <t>230.1699981689453</t>
  </si>
  <si>
    <t>220.33506774902344</t>
  </si>
  <si>
    <t>134.35000610351562</t>
  </si>
  <si>
    <t>171.38999938964844</t>
  </si>
  <si>
    <t>210.0809783935547</t>
  </si>
  <si>
    <t>498.94647216796875</t>
  </si>
  <si>
    <t>400.0953369140625</t>
  </si>
  <si>
    <t>102.8046646118164</t>
  </si>
  <si>
    <t>210.72999572753906</t>
  </si>
  <si>
    <t>220.4248809814453</t>
  </si>
  <si>
    <t>138.14999389648438</t>
  </si>
  <si>
    <t>175.39999389648438</t>
  </si>
  <si>
    <t>214.38226318359375</t>
  </si>
  <si>
    <t>503.45452880859375</t>
  </si>
  <si>
    <t>404.0992431640625</t>
  </si>
  <si>
    <t>675.4199829101562</t>
  </si>
  <si>
    <t>106.44377136230469</t>
  </si>
  <si>
    <t>216.27000427246094</t>
  </si>
  <si>
    <t>219.62661743164062</t>
  </si>
  <si>
    <t>142.83999633789062</t>
  </si>
  <si>
    <t>179.5500030517578</t>
  </si>
  <si>
    <t>148.31900024414062</t>
  </si>
  <si>
    <t>203.25823974609375</t>
  </si>
  <si>
    <t>412.5453796386719</t>
  </si>
  <si>
    <t>673.6199951171875</t>
  </si>
  <si>
    <t>108.0733642578125</t>
  </si>
  <si>
    <t>226.1699981689453</t>
  </si>
  <si>
    <t>222.17103576660156</t>
  </si>
  <si>
    <t>149.86000061035156</t>
  </si>
  <si>
    <t>184.52000427246094</t>
  </si>
  <si>
    <t>150.8132781982422</t>
  </si>
  <si>
    <t>204.90953063964844</t>
  </si>
  <si>
    <t>510.4758605957031</t>
  </si>
  <si>
    <t>421.3500671386719</t>
  </si>
  <si>
    <t>116.8812026977539</t>
  </si>
  <si>
    <t>228.1300048828125</t>
  </si>
  <si>
    <t>150.77000427246094</t>
  </si>
  <si>
    <t>154.33517456054688</t>
  </si>
  <si>
    <t>204.28659057617188</t>
  </si>
  <si>
    <t>524.2094116210938</t>
  </si>
  <si>
    <t>425.29425048828125</t>
  </si>
  <si>
    <t>686.7999877929688</t>
  </si>
  <si>
    <t>119.12083435058594</t>
  </si>
  <si>
    <t>229.80999755859375</t>
  </si>
  <si>
    <t>222.01136779785156</t>
  </si>
  <si>
    <t>152.30999755859375</t>
  </si>
  <si>
    <t>186.49000549316406</t>
  </si>
  <si>
    <t>157.09881591796875</t>
  </si>
  <si>
    <t>202.03213500976562</t>
  </si>
  <si>
    <t>523.2320556640625</t>
  </si>
  <si>
    <t>697.0599975585938</t>
  </si>
  <si>
    <t>119.0808334350586</t>
  </si>
  <si>
    <t>230.2899932861328</t>
  </si>
  <si>
    <t>215.84495544433594</t>
  </si>
  <si>
    <t>152.0800018310547</t>
  </si>
  <si>
    <t>184.88999938964844</t>
  </si>
  <si>
    <t>157.6974334716797</t>
  </si>
  <si>
    <t>205.53248596191406</t>
  </si>
  <si>
    <t>532.3765869140625</t>
  </si>
  <si>
    <t>429.61688232421875</t>
  </si>
  <si>
    <t>116.7612075805664</t>
  </si>
  <si>
    <t>226.77999877929688</t>
  </si>
  <si>
    <t>216.31390380859375</t>
  </si>
  <si>
    <t>150.82000732421875</t>
  </si>
  <si>
    <t>186.8800048828125</t>
  </si>
  <si>
    <t>158.95455932617188</t>
  </si>
  <si>
    <t>206.90692138671875</t>
  </si>
  <si>
    <t>535.4114379882812</t>
  </si>
  <si>
    <t>433.41168212890625</t>
  </si>
  <si>
    <t>706.9099731445312</t>
  </si>
  <si>
    <t>115.57140350341797</t>
  </si>
  <si>
    <t>227.8699951171875</t>
  </si>
  <si>
    <t>220.20535278320312</t>
  </si>
  <si>
    <t>148.2899932861328</t>
  </si>
  <si>
    <t>186.42999267578125</t>
  </si>
  <si>
    <t>159.44342041015625</t>
  </si>
  <si>
    <t>205.2061767578125</t>
  </si>
  <si>
    <t>537.0386352539062</t>
  </si>
  <si>
    <t>429.0890197753906</t>
  </si>
  <si>
    <t>113.35176086425781</t>
  </si>
  <si>
    <t>227.1999969482422</t>
  </si>
  <si>
    <t>228.3673858642578</t>
  </si>
  <si>
    <t>156.74000549316406</t>
  </si>
  <si>
    <t>189.8699951171875</t>
  </si>
  <si>
    <t>161.76808166503906</t>
  </si>
  <si>
    <t>208.12313842773438</t>
  </si>
  <si>
    <t>558.1527709960938</t>
  </si>
  <si>
    <t>436.9375305175781</t>
  </si>
  <si>
    <t>704.3200073242188</t>
  </si>
  <si>
    <t>117.85103607177734</t>
  </si>
  <si>
    <t>243.9199981689453</t>
  </si>
  <si>
    <t>227.6988525390625</t>
  </si>
  <si>
    <t>155.9499969482422</t>
  </si>
  <si>
    <t>191.60000610351562</t>
  </si>
  <si>
    <t>163.21475219726562</t>
  </si>
  <si>
    <t>433.53118896484375</t>
  </si>
  <si>
    <t>115.98133850097656</t>
  </si>
  <si>
    <t>193.8800048828125</t>
  </si>
  <si>
    <t>161.47874450683594</t>
  </si>
  <si>
    <t>209.07240295410156</t>
  </si>
  <si>
    <t>563.4537963867188</t>
  </si>
  <si>
    <t>431.77825927734375</t>
  </si>
  <si>
    <t>705.3699951171875</t>
  </si>
  <si>
    <t>116.24130249023438</t>
  </si>
  <si>
    <t>226.8706817626953</t>
  </si>
  <si>
    <t>158.32000732421875</t>
  </si>
  <si>
    <t>193.9600067138672</t>
  </si>
  <si>
    <t>209.22071838378906</t>
  </si>
  <si>
    <t>562.3756713867188</t>
  </si>
  <si>
    <t>120.85055541992188</t>
  </si>
  <si>
    <t>254.27000427246094</t>
  </si>
  <si>
    <t>225.8728790283203</t>
  </si>
  <si>
    <t>162.02000427246094</t>
  </si>
  <si>
    <t>161.11956787109375</t>
  </si>
  <si>
    <t>207.83641052246094</t>
  </si>
  <si>
    <t>430.3838195800781</t>
  </si>
  <si>
    <t>721.5599975585938</t>
  </si>
  <si>
    <t>123.4901351928711</t>
  </si>
  <si>
    <t>257.0199890136719</t>
  </si>
  <si>
    <t>227.02035522460938</t>
  </si>
  <si>
    <t>167.49000549316406</t>
  </si>
  <si>
    <t>191.16000366210938</t>
  </si>
  <si>
    <t>162.35671997070312</t>
  </si>
  <si>
    <t>566.8780517578125</t>
  </si>
  <si>
    <t>429.5870056152344</t>
  </si>
  <si>
    <t>711.4299926757812</t>
  </si>
  <si>
    <t>124.02005004882812</t>
  </si>
  <si>
    <t>254.22000122070312</t>
  </si>
  <si>
    <t>227.2897491455078</t>
  </si>
  <si>
    <t>164.35000610351562</t>
  </si>
  <si>
    <t>187.97000122070312</t>
  </si>
  <si>
    <t>163.5739288330078</t>
  </si>
  <si>
    <t>208.14292907714844</t>
  </si>
  <si>
    <t>566.3988037109375</t>
  </si>
  <si>
    <t>426.3101501464844</t>
  </si>
  <si>
    <t>707.3499755859375</t>
  </si>
  <si>
    <t>121.38047790527344</t>
  </si>
  <si>
    <t>260.4599914550781</t>
  </si>
  <si>
    <t>232.48831176757812</t>
  </si>
  <si>
    <t>164.0800018310547</t>
  </si>
  <si>
    <t>186.3300018310547</t>
  </si>
  <si>
    <t>165.46957397460938</t>
  </si>
  <si>
    <t>208.4989013671875</t>
  </si>
  <si>
    <t>428.5810241699219</t>
  </si>
  <si>
    <t>121.42046356201172</t>
  </si>
  <si>
    <t>261.6300048828125</t>
  </si>
  <si>
    <t>225.71322631835938</t>
  </si>
  <si>
    <t>185.1300048828125</t>
  </si>
  <si>
    <t>166.60696411132812</t>
  </si>
  <si>
    <t>204.72166442871094</t>
  </si>
  <si>
    <t>575.4933471679688</t>
  </si>
  <si>
    <t>419.0094299316406</t>
  </si>
  <si>
    <t>706.1300048828125</t>
  </si>
  <si>
    <t>116.9811782836914</t>
  </si>
  <si>
    <t>258.0199890136719</t>
  </si>
  <si>
    <t>226.28196716308594</t>
  </si>
  <si>
    <t>159.77999877929688</t>
  </si>
  <si>
    <t>165.47955322265625</t>
  </si>
  <si>
    <t>204.96885681152344</t>
  </si>
  <si>
    <t>415.46368408203125</t>
  </si>
  <si>
    <t>711.0900268554688</t>
  </si>
  <si>
    <t>118.83087921142578</t>
  </si>
  <si>
    <t>249.02000427246094</t>
  </si>
  <si>
    <t>225.17440795898438</t>
  </si>
  <si>
    <t>162.85000610351562</t>
  </si>
  <si>
    <t>181.9600067138672</t>
  </si>
  <si>
    <t>202.9319305419922</t>
  </si>
  <si>
    <t>414.87603759765625</t>
  </si>
  <si>
    <t>706.7999877929688</t>
  </si>
  <si>
    <t>122.83023834228516</t>
  </si>
  <si>
    <t>240.66000366210938</t>
  </si>
  <si>
    <t>226.30194091796875</t>
  </si>
  <si>
    <t>170.89999389648438</t>
  </si>
  <si>
    <t>186.50999450683594</t>
  </si>
  <si>
    <t>166.67678833007812</t>
  </si>
  <si>
    <t>210.13473510742188</t>
  </si>
  <si>
    <t>719.7000122070312</t>
  </si>
  <si>
    <t>250.0800018310547</t>
  </si>
  <si>
    <t>221.2031707763672</t>
  </si>
  <si>
    <t>170.97000122070312</t>
  </si>
  <si>
    <t>180.8000030517578</t>
  </si>
  <si>
    <t>162.6061553955078</t>
  </si>
  <si>
    <t>209.84620666503906</t>
  </si>
  <si>
    <t>407.9040222167969</t>
  </si>
  <si>
    <t>701.9199829101562</t>
  </si>
  <si>
    <t>127.69945526123047</t>
  </si>
  <si>
    <t>240.8300018310547</t>
  </si>
  <si>
    <t>225.27420043945312</t>
  </si>
  <si>
    <t>172.8000030517578</t>
  </si>
  <si>
    <t>182.72000122070312</t>
  </si>
  <si>
    <t>164.00294494628906</t>
  </si>
  <si>
    <t>209.66714477539062</t>
  </si>
  <si>
    <t>591.8855590820312</t>
  </si>
  <si>
    <t>413.0533447265625</t>
  </si>
  <si>
    <t>132.86862182617188</t>
  </si>
  <si>
    <t>229.03591918945312</t>
  </si>
  <si>
    <t>171.02000427246094</t>
  </si>
  <si>
    <t>185.1699981689453</t>
  </si>
  <si>
    <t>161.4887237548828</t>
  </si>
  <si>
    <t>212.32342529296875</t>
  </si>
  <si>
    <t>589.5095825195312</t>
  </si>
  <si>
    <t>415.7923278808594</t>
  </si>
  <si>
    <t>727.4299926757812</t>
  </si>
  <si>
    <t>241.0500030517578</t>
  </si>
  <si>
    <t>228.53700256347656</t>
  </si>
  <si>
    <t>164.17999267578125</t>
  </si>
  <si>
    <t>186.64999389648438</t>
  </si>
  <si>
    <t>161.70822143554688</t>
  </si>
  <si>
    <t>211.74639892578125</t>
  </si>
  <si>
    <t>582.8408813476562</t>
  </si>
  <si>
    <t>414.1788024902344</t>
  </si>
  <si>
    <t>730.2899780273438</t>
  </si>
  <si>
    <t>134.78831481933594</t>
  </si>
  <si>
    <t>238.77000427246094</t>
  </si>
  <si>
    <t>167.88999938964844</t>
  </si>
  <si>
    <t>188.82000732421875</t>
  </si>
  <si>
    <t>162.8655548095703</t>
  </si>
  <si>
    <t>221.14784240722656</t>
  </si>
  <si>
    <t>588.9505615234375</t>
  </si>
  <si>
    <t>414.65692138671875</t>
  </si>
  <si>
    <t>722.7899780273438</t>
  </si>
  <si>
    <t>217.8000030517578</t>
  </si>
  <si>
    <t>230.79205322265625</t>
  </si>
  <si>
    <t>165.27000427246094</t>
  </si>
  <si>
    <t>187.5399932861328</t>
  </si>
  <si>
    <t>164.5816192626953</t>
  </si>
  <si>
    <t>220.34201049804688</t>
  </si>
  <si>
    <t>417.46563720703125</t>
  </si>
  <si>
    <t>138.0478057861328</t>
  </si>
  <si>
    <t>219.16000366210938</t>
  </si>
  <si>
    <t>233.33645629882812</t>
  </si>
  <si>
    <t>156.63999938964844</t>
  </si>
  <si>
    <t>187.69000244140625</t>
  </si>
  <si>
    <t>165.08047485351562</t>
  </si>
  <si>
    <t>221.24734497070312</t>
  </si>
  <si>
    <t>585.2767944335938</t>
  </si>
  <si>
    <t>417.0672302246094</t>
  </si>
  <si>
    <t>131.57884216308594</t>
  </si>
  <si>
    <t>219.57000732421875</t>
  </si>
  <si>
    <t>156.1300048828125</t>
  </si>
  <si>
    <t>164.78114318847656</t>
  </si>
  <si>
    <t>222.4909210205078</t>
  </si>
  <si>
    <t>575.8128051757812</t>
  </si>
  <si>
    <t>414.45770263671875</t>
  </si>
  <si>
    <t>135.6981658935547</t>
  </si>
  <si>
    <t>221.3300018310547</t>
  </si>
  <si>
    <t>231.6401824951172</t>
  </si>
  <si>
    <t>187.52999877929688</t>
  </si>
  <si>
    <t>162.55625915527344</t>
  </si>
  <si>
    <t>223.26690673828125</t>
  </si>
  <si>
    <t>415.0553283691406</t>
  </si>
  <si>
    <t>687.6500244140625</t>
  </si>
  <si>
    <t>136.90797424316406</t>
  </si>
  <si>
    <t>220.88999938964844</t>
  </si>
  <si>
    <t>234.4839324951172</t>
  </si>
  <si>
    <t>155.97000122070312</t>
  </si>
  <si>
    <t>188.99000549316406</t>
  </si>
  <si>
    <t>163.04515075683594</t>
  </si>
  <si>
    <t>224.21202087402344</t>
  </si>
  <si>
    <t>416.4895324707031</t>
  </si>
  <si>
    <t>763.8900146484375</t>
  </si>
  <si>
    <t>137.97779846191406</t>
  </si>
  <si>
    <t>220.6999969482422</t>
  </si>
  <si>
    <t>235.96067810058594</t>
  </si>
  <si>
    <t>157.89999389648438</t>
  </si>
  <si>
    <t>189.07000732421875</t>
  </si>
  <si>
    <t>163.69366455078125</t>
  </si>
  <si>
    <t>221.8542022705078</t>
  </si>
  <si>
    <t>417.1070861816406</t>
  </si>
  <si>
    <t>772.0700073242188</t>
  </si>
  <si>
    <t>143.6868896484375</t>
  </si>
  <si>
    <t>218.85000610351562</t>
  </si>
  <si>
    <t>154.08999633789062</t>
  </si>
  <si>
    <t>189.6999969482422</t>
  </si>
  <si>
    <t>164.76119995117188</t>
  </si>
  <si>
    <t>222.96844482421875</t>
  </si>
  <si>
    <t>581.0240478515625</t>
  </si>
  <si>
    <t>425.8022155761719</t>
  </si>
  <si>
    <t>143.56690979003906</t>
  </si>
  <si>
    <t>217.97000122070312</t>
  </si>
  <si>
    <t>230.25323486328125</t>
  </si>
  <si>
    <t>152.91000366210938</t>
  </si>
  <si>
    <t>184.7100067138672</t>
  </si>
  <si>
    <t>162.4066162109375</t>
  </si>
  <si>
    <t>222.26210021972656</t>
  </si>
  <si>
    <t>562.7349853515625</t>
  </si>
  <si>
    <t>422.9038391113281</t>
  </si>
  <si>
    <t>749.2899780273438</t>
  </si>
  <si>
    <t>139.5375518798828</t>
  </si>
  <si>
    <t>213.64999389648438</t>
  </si>
  <si>
    <t>230.06365966796875</t>
  </si>
  <si>
    <t>153.44000244140625</t>
  </si>
  <si>
    <t>186.3800048828125</t>
  </si>
  <si>
    <t>162.34674072265625</t>
  </si>
  <si>
    <t>223.8240203857422</t>
  </si>
  <si>
    <t>423.0332946777344</t>
  </si>
  <si>
    <t>754.5499877929688</t>
  </si>
  <si>
    <t>140.38742065429688</t>
  </si>
  <si>
    <t>260.4800109863281</t>
  </si>
  <si>
    <t>230.9018096923828</t>
  </si>
  <si>
    <t>156.22999572753906</t>
  </si>
  <si>
    <t>187.8300018310547</t>
  </si>
  <si>
    <t>164.89089965820312</t>
  </si>
  <si>
    <t>221.16773986816406</t>
  </si>
  <si>
    <t>426.43963623046875</t>
  </si>
  <si>
    <t>754.6799926757812</t>
  </si>
  <si>
    <t>141.51722717285156</t>
  </si>
  <si>
    <t>269.19000244140625</t>
  </si>
  <si>
    <t>232.88743591308594</t>
  </si>
  <si>
    <t>159.9199981689453</t>
  </si>
  <si>
    <t>188.38999938964844</t>
  </si>
  <si>
    <t>166.3375701904297</t>
  </si>
  <si>
    <t>224.3413543701172</t>
  </si>
  <si>
    <t>577.1804809570312</t>
  </si>
  <si>
    <t>424.8858947753906</t>
  </si>
  <si>
    <t>749.1199951171875</t>
  </si>
  <si>
    <t>140.4973907470703</t>
  </si>
  <si>
    <t>233.15684509277344</t>
  </si>
  <si>
    <t>190.8300018310547</t>
  </si>
  <si>
    <t>169.29078674316406</t>
  </si>
  <si>
    <t>221.7547149658203</t>
  </si>
  <si>
    <t>592.2749633789062</t>
  </si>
  <si>
    <t>430.2244873046875</t>
  </si>
  <si>
    <t>759.4400024414062</t>
  </si>
  <si>
    <t>141.22727966308594</t>
  </si>
  <si>
    <t>259.5199890136719</t>
  </si>
  <si>
    <t>229.59469604492188</t>
  </si>
  <si>
    <t>148.60000610351562</t>
  </si>
  <si>
    <t>192.72999572753906</t>
  </si>
  <si>
    <t>223.2569580078125</t>
  </si>
  <si>
    <t>430.8021545410156</t>
  </si>
  <si>
    <t>139.3175811767578</t>
  </si>
  <si>
    <t>257.54998779296875</t>
  </si>
  <si>
    <t>225.4138946533203</t>
  </si>
  <si>
    <t>144.07000732421875</t>
  </si>
  <si>
    <t>186.39999389648438</t>
  </si>
  <si>
    <t>170.71751403808594</t>
  </si>
  <si>
    <t>220.77975463867188</t>
  </si>
  <si>
    <t>566.6184692382812</t>
  </si>
  <si>
    <t>404.72674560546875</t>
  </si>
  <si>
    <t>132.7386474609375</t>
  </si>
  <si>
    <t>249.85000610351562</t>
  </si>
  <si>
    <t>222.4204864501953</t>
  </si>
  <si>
    <t>141.86000061035156</t>
  </si>
  <si>
    <t>197.92999267578125</t>
  </si>
  <si>
    <t>170.89707946777344</t>
  </si>
  <si>
    <t>221.7945098876953</t>
  </si>
  <si>
    <t>566.1991577148438</t>
  </si>
  <si>
    <t>408.73065185546875</t>
  </si>
  <si>
    <t>756.0999755859375</t>
  </si>
  <si>
    <t>135.3782196044922</t>
  </si>
  <si>
    <t>248.97999572753906</t>
  </si>
  <si>
    <t>221.52244567871094</t>
  </si>
  <si>
    <t>140.7100067138672</t>
  </si>
  <si>
    <t>195.77999877929688</t>
  </si>
  <si>
    <t>218.65074157714844</t>
  </si>
  <si>
    <t>559.7301025390625</t>
  </si>
  <si>
    <t>406.8282775878906</t>
  </si>
  <si>
    <t>136.0281219482422</t>
  </si>
  <si>
    <t>242.83999633789062</t>
  </si>
  <si>
    <t>222.95928955078125</t>
  </si>
  <si>
    <t>141.66000366210938</t>
  </si>
  <si>
    <t>169.35064697265625</t>
  </si>
  <si>
    <t>220.3519744873047</t>
  </si>
  <si>
    <t>409.8163146972656</t>
  </si>
  <si>
    <t>763.9099731445312</t>
  </si>
  <si>
    <t>139.8874969482422</t>
  </si>
  <si>
    <t>251.44000244140625</t>
  </si>
  <si>
    <t>222.23089599609375</t>
  </si>
  <si>
    <t>145.10000610351562</t>
  </si>
  <si>
    <t>207.08999633789062</t>
  </si>
  <si>
    <t>176.10511779785156</t>
  </si>
  <si>
    <t>245.7905731201172</t>
  </si>
  <si>
    <t>571.0808715820312</t>
  </si>
  <si>
    <t>780.2100219726562</t>
  </si>
  <si>
    <t>145.58656311035156</t>
  </si>
  <si>
    <t>288.5299987792969</t>
  </si>
  <si>
    <t>226.98043823242188</t>
  </si>
  <si>
    <t>149.82000732421875</t>
  </si>
  <si>
    <t>210.0500030517578</t>
  </si>
  <si>
    <t>180.33538818359375</t>
  </si>
  <si>
    <t>235.16546630859375</t>
  </si>
  <si>
    <t>590.6976318359375</t>
  </si>
  <si>
    <t>423.73052978515625</t>
  </si>
  <si>
    <t>796.5399780273438</t>
  </si>
  <si>
    <t>148.85606384277344</t>
  </si>
  <si>
    <t>296.9100036621094</t>
  </si>
  <si>
    <t>226.7107391357422</t>
  </si>
  <si>
    <t>147.9499969482422</t>
  </si>
  <si>
    <t>208.17999267578125</t>
  </si>
  <si>
    <t>177.94090270996094</t>
  </si>
  <si>
    <t>235.7623748779297</t>
  </si>
  <si>
    <t>588.3416137695312</t>
  </si>
  <si>
    <t>795.0399780273438</t>
  </si>
  <si>
    <t>147.6062469482422</t>
  </si>
  <si>
    <t>321.2200012207031</t>
  </si>
  <si>
    <t>223.98373413085938</t>
  </si>
  <si>
    <t>147.35000610351562</t>
  </si>
  <si>
    <t>206.83999633789062</t>
  </si>
  <si>
    <t>179.93630981445312</t>
  </si>
  <si>
    <t>238.0605010986328</t>
  </si>
  <si>
    <t>582.1820068359375</t>
  </si>
  <si>
    <t>416.34014892578125</t>
  </si>
  <si>
    <t>805.4400024414062</t>
  </si>
  <si>
    <t>145.23663330078125</t>
  </si>
  <si>
    <t>143.6300048828125</t>
  </si>
  <si>
    <t>208.91000366210938</t>
  </si>
  <si>
    <t>181.20339965820312</t>
  </si>
  <si>
    <t>238.32911682128906</t>
  </si>
  <si>
    <t>583.8292236328125</t>
  </si>
  <si>
    <t>148.26612854003906</t>
  </si>
  <si>
    <t>224.8727569580078</t>
  </si>
  <si>
    <t>139.3000030517578</t>
  </si>
  <si>
    <t>214.10000610351562</t>
  </si>
  <si>
    <t>178.4696807861328</t>
  </si>
  <si>
    <t>579.0173950195312</t>
  </si>
  <si>
    <t>146.2464599609375</t>
  </si>
  <si>
    <t>227.9693603515625</t>
  </si>
  <si>
    <t>138.83999633789062</t>
  </si>
  <si>
    <t>211.47999572753906</t>
  </si>
  <si>
    <t>175.17726135253906</t>
  </si>
  <si>
    <t>240.6272430419922</t>
  </si>
  <si>
    <t>576.1821899414062</t>
  </si>
  <si>
    <t>425.1846923828125</t>
  </si>
  <si>
    <t>146.7363739013672</t>
  </si>
  <si>
    <t>311.17999267578125</t>
  </si>
  <si>
    <t>224.7528839111328</t>
  </si>
  <si>
    <t>134.89999389648438</t>
  </si>
  <si>
    <t>202.61000061035156</t>
  </si>
  <si>
    <t>172.09434509277344</t>
  </si>
  <si>
    <t>244.04957580566406</t>
  </si>
  <si>
    <t>553.1412963867188</t>
  </si>
  <si>
    <t>413.3421936035156</t>
  </si>
  <si>
    <t>823.9600219726562</t>
  </si>
  <si>
    <t>141.9571533203125</t>
  </si>
  <si>
    <t>320.7200012207031</t>
  </si>
  <si>
    <t>227.7695770263672</t>
  </si>
  <si>
    <t>138.92999267578125</t>
  </si>
  <si>
    <t>201.6999969482422</t>
  </si>
  <si>
    <t>174.8979034423828</t>
  </si>
  <si>
    <t>243.77101135253906</t>
  </si>
  <si>
    <t>553.4608154296875</t>
  </si>
  <si>
    <t>414.0991516113281</t>
  </si>
  <si>
    <t>847.0499877929688</t>
  </si>
  <si>
    <t>228.02928161621094</t>
  </si>
  <si>
    <t>139.38999938964844</t>
  </si>
  <si>
    <t>204.61000061035156</t>
  </si>
  <si>
    <t>177.71141052246094</t>
  </si>
  <si>
    <t>241.84097290039062</t>
  </si>
  <si>
    <t>560.1394653320312</t>
  </si>
  <si>
    <t>416.1210632324219</t>
  </si>
  <si>
    <t>871.3200073242188</t>
  </si>
  <si>
    <t>146.98634338378906</t>
  </si>
  <si>
    <t>228.7484893798828</t>
  </si>
  <si>
    <t>137.60000610351562</t>
  </si>
  <si>
    <t>202.8800048828125</t>
  </si>
  <si>
    <t>175.5763397216797</t>
  </si>
  <si>
    <t>239.5428466796875</t>
  </si>
  <si>
    <t>564.5619506835938</t>
  </si>
  <si>
    <t>413.8302001953125</t>
  </si>
  <si>
    <t>883.8499755859375</t>
  </si>
  <si>
    <t>145.8665313720703</t>
  </si>
  <si>
    <t>342.0299987792969</t>
  </si>
  <si>
    <t>228.26902770996094</t>
  </si>
  <si>
    <t>137.49000549316406</t>
  </si>
  <si>
    <t>198.3800048828125</t>
  </si>
  <si>
    <t>167.2454833984375</t>
  </si>
  <si>
    <t>243.5023956298828</t>
  </si>
  <si>
    <t>562.1360473632812</t>
  </si>
  <si>
    <t>412.0437927246094</t>
  </si>
  <si>
    <t>146.6464080810547</t>
  </si>
  <si>
    <t>339.6400146484375</t>
  </si>
  <si>
    <t>229.61753845214844</t>
  </si>
  <si>
    <t>138.35000610351562</t>
  </si>
  <si>
    <t>197.1199951171875</t>
  </si>
  <si>
    <t>164.38206481933594</t>
  </si>
  <si>
    <t>247.27293395996094</t>
  </si>
  <si>
    <t>558.1928100585938</t>
  </si>
  <si>
    <t>897.7899780273438</t>
  </si>
  <si>
    <t>141.92715454101562</t>
  </si>
  <si>
    <t>352.55999755859375</t>
  </si>
  <si>
    <t>232.61424255371094</t>
  </si>
  <si>
    <t>201.4499969482422</t>
  </si>
  <si>
    <t>167.26544189453125</t>
  </si>
  <si>
    <t>249.0039825439453</t>
  </si>
  <si>
    <t>564.1526489257812</t>
  </si>
  <si>
    <t>417.95196533203125</t>
  </si>
  <si>
    <t>865.5900268554688</t>
  </si>
  <si>
    <t>135.9981231689453</t>
  </si>
  <si>
    <t>338.5899963378906</t>
  </si>
  <si>
    <t>234.8018341064453</t>
  </si>
  <si>
    <t>137.72000122070312</t>
  </si>
  <si>
    <t>207.86000061035156</t>
  </si>
  <si>
    <t>168.73207092285156</t>
  </si>
  <si>
    <t>248.6856231689453</t>
  </si>
  <si>
    <t>572.5682983398438</t>
  </si>
  <si>
    <t>872.5999755859375</t>
  </si>
  <si>
    <t>136.89797973632812</t>
  </si>
  <si>
    <t>338.2300109863281</t>
  </si>
  <si>
    <t>234.67198181152344</t>
  </si>
  <si>
    <t>136.24000549316406</t>
  </si>
  <si>
    <t>205.74000549316406</t>
  </si>
  <si>
    <t>168.84181213378906</t>
  </si>
  <si>
    <t>248.5065460205078</t>
  </si>
  <si>
    <t>568.2357177734375</t>
  </si>
  <si>
    <t>877.3400268554688</t>
  </si>
  <si>
    <t>135.31822204589844</t>
  </si>
  <si>
    <t>332.8900146484375</t>
  </si>
  <si>
    <t>237.06935119628906</t>
  </si>
  <si>
    <t>137.17999267578125</t>
  </si>
  <si>
    <t>207.88999938964844</t>
  </si>
  <si>
    <t>168.5624542236328</t>
  </si>
  <si>
    <t>248.43692016601562</t>
  </si>
  <si>
    <t>573.3470458984375</t>
  </si>
  <si>
    <t>422.61260986328125</t>
  </si>
  <si>
    <t>886.8099975585938</t>
  </si>
  <si>
    <t>138.22776794433594</t>
  </si>
  <si>
    <t>345.1600036621094</t>
  </si>
  <si>
    <t>239.3268585205078</t>
  </si>
  <si>
    <t>142.05999755859375</t>
  </si>
  <si>
    <t>210.7100067138672</t>
  </si>
  <si>
    <t>171.0966339111328</t>
  </si>
  <si>
    <t>244.9847412109375</t>
  </si>
  <si>
    <t>430.1175842285156</t>
  </si>
  <si>
    <t>138.60769653320312</t>
  </si>
  <si>
    <t>357.0899963378906</t>
  </si>
  <si>
    <t>242.3834991455078</t>
  </si>
  <si>
    <t>141.97999572753906</t>
  </si>
  <si>
    <t>213.44000244140625</t>
  </si>
  <si>
    <t>170.9469757080078</t>
  </si>
  <si>
    <t>243.56210327148438</t>
  </si>
  <si>
    <t>612.6104125976562</t>
  </si>
  <si>
    <t>430.3371276855469</t>
  </si>
  <si>
    <t>902.1699829101562</t>
  </si>
  <si>
    <t>140.23744201660156</t>
  </si>
  <si>
    <t>351.4200134277344</t>
  </si>
  <si>
    <t>242.74310302734375</t>
  </si>
  <si>
    <t>143.99000549316406</t>
  </si>
  <si>
    <t>218.16000366210938</t>
  </si>
  <si>
    <t>173.9700164794922</t>
  </si>
  <si>
    <t>242.14938354492188</t>
  </si>
  <si>
    <t>612.7401733398438</t>
  </si>
  <si>
    <t>911.0599975585938</t>
  </si>
  <si>
    <t>145.1166534423828</t>
  </si>
  <si>
    <t>357.92999267578125</t>
  </si>
  <si>
    <t>242.7730712890625</t>
  </si>
  <si>
    <t>141.36000061035156</t>
  </si>
  <si>
    <t>220.5500030517578</t>
  </si>
  <si>
    <t>172.24400329589844</t>
  </si>
  <si>
    <t>244.21868896484375</t>
  </si>
  <si>
    <t>607.8983764648438</t>
  </si>
  <si>
    <t>441.7342529296875</t>
  </si>
  <si>
    <t>917.8699951171875</t>
  </si>
  <si>
    <t>145.04666137695312</t>
  </si>
  <si>
    <t>242.5732879638672</t>
  </si>
  <si>
    <t>138.58999633789062</t>
  </si>
  <si>
    <t>227.02999877929688</t>
  </si>
  <si>
    <t>174.30926513671875</t>
  </si>
  <si>
    <t>246.0890350341797</t>
  </si>
  <si>
    <t>622.7132568359375</t>
  </si>
  <si>
    <t>142.42689514160156</t>
  </si>
  <si>
    <t>389.2200012207031</t>
  </si>
  <si>
    <t>130.8699951171875</t>
  </si>
  <si>
    <t>226.08999633789062</t>
  </si>
  <si>
    <t>175.1682586669922</t>
  </si>
  <si>
    <t>242.55728149414062</t>
  </si>
  <si>
    <t>913.6900024414062</t>
  </si>
  <si>
    <t>138.79722595214844</t>
  </si>
  <si>
    <t>389.7900085449219</t>
  </si>
  <si>
    <t>247.4978790283203</t>
  </si>
  <si>
    <t>127.73999786376953</t>
  </si>
  <si>
    <t>225.0399932861328</t>
  </si>
  <si>
    <t>184.9569854736328</t>
  </si>
  <si>
    <t>241.61216735839844</t>
  </si>
  <si>
    <t>618.2708129882812</t>
  </si>
  <si>
    <t>442.4428405761719</t>
  </si>
  <si>
    <t>913.3499755859375</t>
  </si>
  <si>
    <t>135.05758666992188</t>
  </si>
  <si>
    <t>246.2192840576172</t>
  </si>
  <si>
    <t>130.14999389648438</t>
  </si>
  <si>
    <t>230.25999450683594</t>
  </si>
  <si>
    <t>195.1752166748047</t>
  </si>
  <si>
    <t>242.27871704101562</t>
  </si>
  <si>
    <t>631.6080932617188</t>
  </si>
  <si>
    <t>448.0915222167969</t>
  </si>
  <si>
    <t>936.5599975585938</t>
  </si>
  <si>
    <t>139.29718017578125</t>
  </si>
  <si>
    <t>424.7699890136719</t>
  </si>
  <si>
    <t>247.68768310546875</t>
  </si>
  <si>
    <t>130.60000610351562</t>
  </si>
  <si>
    <t>228.97000122070312</t>
  </si>
  <si>
    <t>191.7391815185547</t>
  </si>
  <si>
    <t>240.2889862060547</t>
  </si>
  <si>
    <t>629.7213134765625</t>
  </si>
  <si>
    <t>448.6603698730469</t>
  </si>
  <si>
    <t>925.5499877929688</t>
  </si>
  <si>
    <t>137.32736206054688</t>
  </si>
  <si>
    <t>418.1000061035156</t>
  </si>
  <si>
    <t>247.85748291015625</t>
  </si>
  <si>
    <t>126.91000366210938</t>
  </si>
  <si>
    <t>227.4600067138672</t>
  </si>
  <si>
    <t>189.6016387939453</t>
  </si>
  <si>
    <t>238.70716857910156</t>
  </si>
  <si>
    <t>619.2990112304688</t>
  </si>
  <si>
    <t>446.37493896484375</t>
  </si>
  <si>
    <t>918.8699951171875</t>
  </si>
  <si>
    <t>134.23765563964844</t>
  </si>
  <si>
    <t>436.2300109863281</t>
  </si>
  <si>
    <t>250.7642822265625</t>
  </si>
  <si>
    <t>126.69000244140625</t>
  </si>
  <si>
    <t>232.92999267578125</t>
  </si>
  <si>
    <t>196.43377685546875</t>
  </si>
  <si>
    <t>238.34901428222656</t>
  </si>
  <si>
    <t>623.6851196289062</t>
  </si>
  <si>
    <t>450.6863098144531</t>
  </si>
  <si>
    <t>921.0800170898438</t>
  </si>
  <si>
    <t>131.98785400390625</t>
  </si>
  <si>
    <t>463.0199890136719</t>
  </si>
  <si>
    <t>253.20159912109375</t>
  </si>
  <si>
    <t>125.0199966430664</t>
  </si>
  <si>
    <t>231.14999389648438</t>
  </si>
  <si>
    <t>195.1951904296875</t>
  </si>
  <si>
    <t>237.13528442382812</t>
  </si>
  <si>
    <t>453.5505676269531</t>
  </si>
  <si>
    <t>919.1300048828125</t>
  </si>
  <si>
    <t>130.3780059814453</t>
  </si>
  <si>
    <t>479.8599853515625</t>
  </si>
  <si>
    <t>247.77757263183594</t>
  </si>
  <si>
    <t>121.41000366210938</t>
  </si>
  <si>
    <t>220.52000427246094</t>
  </si>
  <si>
    <t>188.18325805664062</t>
  </si>
  <si>
    <t>229.1863250732422</t>
  </si>
  <si>
    <t>436.5147399902344</t>
  </si>
  <si>
    <t>889.5499877929688</t>
  </si>
  <si>
    <t>128.8981475830078</t>
  </si>
  <si>
    <t>440.1300048828125</t>
  </si>
  <si>
    <t>249.51565551757812</t>
  </si>
  <si>
    <t>118.87999725341797</t>
  </si>
  <si>
    <t>223.2899932861328</t>
  </si>
  <si>
    <t>188.2931365966797</t>
  </si>
  <si>
    <t>231.76303100585938</t>
  </si>
  <si>
    <t>595.0405883789062</t>
  </si>
  <si>
    <t>436.15545654296875</t>
  </si>
  <si>
    <t>902.0399780273438</t>
  </si>
  <si>
    <t>436.1700134277344</t>
  </si>
  <si>
    <t>254.21051025390625</t>
  </si>
  <si>
    <t>119.20999908447266</t>
  </si>
  <si>
    <t>224.9199981689453</t>
  </si>
  <si>
    <t>191.18980407714844</t>
  </si>
  <si>
    <t>236.3791961669922</t>
  </si>
  <si>
    <t>584.7297973632812</t>
  </si>
  <si>
    <t>909.0499877929688</t>
  </si>
  <si>
    <t>134.68760681152344</t>
  </si>
  <si>
    <t>421.05999755859375</t>
  </si>
  <si>
    <t>254.98965454101562</t>
  </si>
  <si>
    <t>124.5999984741211</t>
  </si>
  <si>
    <t>225.05999755859375</t>
  </si>
  <si>
    <t>194.40611267089844</t>
  </si>
  <si>
    <t>237.16513061523438</t>
  </si>
  <si>
    <t>599.3167724609375</t>
  </si>
  <si>
    <t>434.3790283203125</t>
  </si>
  <si>
    <t>911.4500122070312</t>
  </si>
  <si>
    <t>139.6571502685547</t>
  </si>
  <si>
    <t>430.6000061035156</t>
  </si>
  <si>
    <t>257.91644287109375</t>
  </si>
  <si>
    <t>126.29000091552734</t>
  </si>
  <si>
    <t>229.0500030517578</t>
  </si>
  <si>
    <t>195.8843994140625</t>
  </si>
  <si>
    <t>241.0649871826172</t>
  </si>
  <si>
    <t>607.2097778320312</t>
  </si>
  <si>
    <t>438.4508361816406</t>
  </si>
  <si>
    <t>932.1199951171875</t>
  </si>
  <si>
    <t>140.2071075439453</t>
  </si>
  <si>
    <t>462.2799987792969</t>
  </si>
  <si>
    <t>258.7355041503906</t>
  </si>
  <si>
    <t>125.05999755859375</t>
  </si>
  <si>
    <t>227.0500030517578</t>
  </si>
  <si>
    <t>241.89071655273438</t>
  </si>
  <si>
    <t>602.8136596679688</t>
  </si>
  <si>
    <t>437.2332763671875</t>
  </si>
  <si>
    <t>924.1400146484375</t>
  </si>
  <si>
    <t>139.91712951660156</t>
  </si>
  <si>
    <t>454.1300048828125</t>
  </si>
  <si>
    <t>255.30929565429688</t>
  </si>
  <si>
    <t>125.19000244140625</t>
  </si>
  <si>
    <t>192.5382537841797</t>
  </si>
  <si>
    <t>239.93084716796875</t>
  </si>
  <si>
    <t>907.5499877929688</t>
  </si>
  <si>
    <t>136.9973907470703</t>
  </si>
  <si>
    <t>431.6600036621094</t>
  </si>
  <si>
    <t>251.9230194091797</t>
  </si>
  <si>
    <t>122.44000244140625</t>
  </si>
  <si>
    <t>221.3000030517578</t>
  </si>
  <si>
    <t>191.02000427246094</t>
  </si>
  <si>
    <t>238.09036254882812</t>
  </si>
  <si>
    <t>590.7144165039062</t>
  </si>
  <si>
    <t>423.9798583984375</t>
  </si>
  <si>
    <t>900.4299926757812</t>
  </si>
  <si>
    <t>137.47735595703125</t>
  </si>
  <si>
    <t>417.4100036621094</t>
  </si>
  <si>
    <t xml:space="preserve">Average Return </t>
  </si>
  <si>
    <t xml:space="preserve">Excess Return </t>
  </si>
  <si>
    <t xml:space="preserve">Weight </t>
  </si>
  <si>
    <t>Return</t>
  </si>
  <si>
    <t>Portfolio</t>
  </si>
  <si>
    <t>Mean Return</t>
  </si>
  <si>
    <t>Variance</t>
  </si>
  <si>
    <t xml:space="preserve">Standard Deviation </t>
  </si>
  <si>
    <t xml:space="preserve">Log Return </t>
  </si>
  <si>
    <t xml:space="preserve">Variance Covariance Matrix </t>
  </si>
  <si>
    <t xml:space="preserve">CVaR at 1% Level </t>
  </si>
  <si>
    <t xml:space="preserve">VaR at 1% Level </t>
  </si>
  <si>
    <t>NORMSINV(0.99)</t>
  </si>
  <si>
    <t xml:space="preserve">Stock Price </t>
  </si>
  <si>
    <t>https://colab.research.google.com/drive/1ZSnG46UNegpvEW_qRaeUPfGKrXB3syRn?usp=sharing</t>
  </si>
  <si>
    <t>DATE</t>
  </si>
  <si>
    <t xml:space="preserve">Fed Fund </t>
  </si>
  <si>
    <t xml:space="preserve">Dummy </t>
  </si>
  <si>
    <t>SUMMARY OUTPUT</t>
  </si>
  <si>
    <t xml:space="preserve">Fitted Fed Fund 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</si>
  <si>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</si>
  <si>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</si>
  <si>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</si>
  <si>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</si>
  <si>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</si>
  <si>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</si>
  <si>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</si>
  <si>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</si>
  <si>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</si>
  <si>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</si>
  <si>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</si>
  <si>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</si>
  <si>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</si>
  <si>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</si>
  <si>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</si>
  <si>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</si>
  <si>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</si>
  <si>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</si>
  <si>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</si>
  <si>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Intercept</t>
  </si>
  <si>
    <t>Fitted Fed Fund</t>
  </si>
  <si>
    <t xml:space="preserve">Inflation </t>
  </si>
  <si>
    <t>Lower 95.0%</t>
  </si>
  <si>
    <t>Upper 95.0%</t>
  </si>
  <si>
    <r>
      <t>Q6.(iv) Estimate Taylor Rule via OLS Regression</t>
    </r>
    <r>
      <rPr>
        <b/>
        <sz val="12"/>
        <color theme="9" tint="-0.499984740745262"/>
        <rFont val="Times New Roman"/>
        <family val="1"/>
      </rPr>
      <t>(By using Unemployment)</t>
    </r>
  </si>
  <si>
    <t xml:space="preserve">Unemployment </t>
  </si>
  <si>
    <t xml:space="preserve">Output From Using Linest Function </t>
  </si>
  <si>
    <t xml:space="preserve">T-Statistics </t>
  </si>
  <si>
    <t xml:space="preserve">Output Using Linest Function </t>
  </si>
  <si>
    <r>
      <t xml:space="preserve">Q6.(iv) Estimate Taylor Rule via Dummy Variables </t>
    </r>
    <r>
      <rPr>
        <b/>
        <sz val="12"/>
        <color theme="9" tint="-0.499984740745262"/>
        <rFont val="Times New Roman"/>
        <family val="1"/>
      </rPr>
      <t xml:space="preserve">(By using Unemployment) </t>
    </r>
  </si>
  <si>
    <t xml:space="preserve">Difference </t>
  </si>
  <si>
    <t xml:space="preserve">Change(%) </t>
  </si>
  <si>
    <t xml:space="preserve">Excel Manual Calculation </t>
  </si>
  <si>
    <t xml:space="preserve">Using VBA Code </t>
  </si>
  <si>
    <t>Factor</t>
  </si>
  <si>
    <t>Change</t>
  </si>
  <si>
    <t>Bond Price Effect</t>
  </si>
  <si>
    <t>Reason</t>
  </si>
  <si>
    <t>Yield (r)</t>
  </si>
  <si>
    <t>↑ increase</t>
  </si>
  <si>
    <t>↓ decreases</t>
  </si>
  <si>
    <t>Inverse relationship</t>
  </si>
  <si>
    <t>Maturity (T)</t>
  </si>
  <si>
    <t>↑ or ↓ (depends on yield)</t>
  </si>
  <si>
    <t>Longer duration = more sensitivity</t>
  </si>
  <si>
    <t>Coupon Rate</t>
  </si>
  <si>
    <t>↑ increases</t>
  </si>
  <si>
    <t>More cash flow = higher value</t>
  </si>
  <si>
    <t>Explanation for how Duration is important for Interest Rate Risk</t>
  </si>
  <si>
    <t xml:space="preserve">YTM(IRR) </t>
  </si>
  <si>
    <t xml:space="preserve">(Remark: The excel result is same as python) </t>
  </si>
  <si>
    <t xml:space="preserve">The result is same as Python. </t>
  </si>
  <si>
    <r>
      <t xml:space="preserve">Interpretation, Explanation and </t>
    </r>
    <r>
      <rPr>
        <b/>
        <sz val="12"/>
        <color theme="5" tint="-0.499984740745262"/>
        <rFont val="Times New Roman"/>
        <family val="1"/>
      </rPr>
      <t xml:space="preserve">Google Collab Link </t>
    </r>
  </si>
  <si>
    <t xml:space="preserve">The result are same as python. </t>
  </si>
  <si>
    <t>Time (Year)</t>
  </si>
  <si>
    <t xml:space="preserve"> BondPricing</t>
  </si>
  <si>
    <t xml:space="preserve"> Sensitivity</t>
  </si>
  <si>
    <t xml:space="preserve">🔗Click </t>
  </si>
  <si>
    <t xml:space="preserve"> Bond Duration</t>
  </si>
  <si>
    <t xml:space="preserve">YTM(bisection) </t>
  </si>
  <si>
    <t xml:space="preserve">Black(1976)Model </t>
  </si>
  <si>
    <t>Taylor Rule(Greenspan got off track track)</t>
  </si>
  <si>
    <t>Yahoo Finance -10 Stocks Portfolio</t>
  </si>
  <si>
    <t xml:space="preserve">Graph (d) </t>
  </si>
  <si>
    <t xml:space="preserve">📘 Title </t>
  </si>
  <si>
    <t>📘 Title</t>
  </si>
  <si>
    <t xml:space="preserve">Home Menu </t>
  </si>
  <si>
    <t xml:space="preserve">The Duration of Bond (Excel &amp; Google Collab link) </t>
  </si>
  <si>
    <t>The Price of a Bond ( Excel &amp; Google Collab Link )</t>
  </si>
  <si>
    <t xml:space="preserve">Sensitivity Analysis--&gt; Graph (a, b, c) </t>
  </si>
  <si>
    <t xml:space="preserve">Sensitivity Analysis (Graph d) </t>
  </si>
  <si>
    <t xml:space="preserve"> Sensitivity Analysis (Graph e, f, g)  </t>
  </si>
  <si>
    <t xml:space="preserve"> Yield to Maturity using Bisection Technique and Google Collab Link </t>
  </si>
  <si>
    <t xml:space="preserve">Mortgage Repayment and Google Collab Link </t>
  </si>
  <si>
    <t xml:space="preserve">Black (1976) model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</si>
</sst>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00"/>
    <numFmt numFmtId="166" formatCode="0.0000"/>
    <numFmt numFmtId="167" formatCode="0.000"/>
    <numFmt numFmtId="168" formatCode="_-* #,##0.000_-;\-* #,##0.000_-;_-* &quot;-&quot;??_-;_-@_-"/>
    <numFmt numFmtId="169" formatCode="0.0000000"/>
    <numFmt numFmtId="170" formatCode="yyyy\-mm\-dd"/>
    <numFmt numFmtId="171" formatCode="0.0%"/>
    <numFmt numFmtId="172" formatCode="_(* #,##0.000_);_(* \(#,##0.000\);_(* &quot;-&quot;??_);_(@_)"/>
  </numFmts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0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u/>
      <sz val="12"/>
      <color theme="10"/>
      <name val="Times New Roman"/>
      <family val="1"/>
    </font>
    <font>
      <b/>
      <sz val="12"/>
      <color theme="1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1"/>
      <color theme="1"/>
      <name val="Times New Roman"/>
      <family val="1"/>
    </font>
    <font>
      <b/>
      <sz val="11"/>
      <color theme="5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b/>
      <sz val="12"/>
      <color theme="4"/>
      <name val="Times New Roman"/>
      <family val="1"/>
    </font>
    <font>
      <sz val="12"/>
      <color theme="9" tint="-0.499984740745262"/>
      <name val="Times New Roman"/>
      <family val="1"/>
    </font>
    <font>
      <b/>
      <sz val="14"/>
      <color theme="1"/>
      <name val="Times New Roman"/>
      <family val="1"/>
    </font>
    <font>
      <b/>
      <sz val="12"/>
      <name val="Times New Roman"/>
      <family val="1"/>
    </font>
    <font>
      <i/>
      <sz val="11"/>
      <color theme="1"/>
      <name val="Times New Roman"/>
      <family val="1"/>
    </font>
    <font>
      <b/>
      <sz val="11"/>
      <color theme="9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4"/>
      <color theme="5" tint="-0.499984740745262"/>
      <name val="Times New Roman"/>
      <family val="1"/>
    </font>
    <font>
      <b/>
      <sz val="20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indexed="64"/>
      </bottom>
      <diagonal/>
    </border>
    <border>
      <left/>
      <right/>
      <top style="medium">
        <color theme="4" tint="-0.499984740745262"/>
      </top>
      <bottom style="medium">
        <color indexed="6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6">
    <xf numFmtId="0" fontId="0" fillId="0" borderId="0" xfId="0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9" fillId="0" borderId="0" xfId="0" applyFont="1"/>
    <xf numFmtId="164" fontId="9" fillId="0" borderId="0" xfId="2" applyFont="1" applyBorder="1"/>
    <xf numFmtId="164" fontId="5" fillId="0" borderId="0" xfId="2" applyFont="1" applyBorder="1"/>
    <xf numFmtId="0" fontId="13" fillId="0" borderId="0" xfId="0" applyFont="1"/>
    <xf numFmtId="0" fontId="8" fillId="0" borderId="0" xfId="0" applyFont="1" applyAlignment="1">
      <alignment horizontal="center" vertical="center"/>
    </xf>
    <xf numFmtId="0" fontId="3" fillId="0" borderId="4" xfId="0" applyFont="1" applyBorder="1"/>
    <xf numFmtId="0" fontId="3" fillId="0" borderId="5" xfId="0" applyFont="1" applyBorder="1"/>
    <xf numFmtId="0" fontId="5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2" xfId="0" applyFont="1" applyBorder="1"/>
    <xf numFmtId="0" fontId="5" fillId="0" borderId="12" xfId="0" applyFont="1" applyBorder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6" xfId="0" applyFont="1" applyBorder="1"/>
    <xf numFmtId="0" fontId="8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9" fillId="0" borderId="12" xfId="0" applyFont="1" applyBorder="1"/>
    <xf numFmtId="0" fontId="1" fillId="0" borderId="12" xfId="1" applyBorder="1"/>
    <xf numFmtId="0" fontId="3" fillId="0" borderId="12" xfId="0" applyFont="1" applyBorder="1"/>
    <xf numFmtId="0" fontId="3" fillId="0" borderId="13" xfId="0" applyFont="1" applyBorder="1"/>
    <xf numFmtId="0" fontId="4" fillId="0" borderId="0" xfId="1" applyFont="1" applyBorder="1"/>
    <xf numFmtId="0" fontId="3" fillId="0" borderId="15" xfId="0" applyFont="1" applyBorder="1"/>
    <xf numFmtId="0" fontId="3" fillId="0" borderId="16" xfId="0" applyFont="1" applyBorder="1"/>
    <xf numFmtId="164" fontId="5" fillId="0" borderId="0" xfId="2" applyFont="1"/>
    <xf numFmtId="164" fontId="5" fillId="0" borderId="0" xfId="2" applyFont="1" applyBorder="1" applyAlignment="1">
      <alignment vertical="center" wrapText="1"/>
    </xf>
    <xf numFmtId="0" fontId="5" fillId="0" borderId="13" xfId="0" applyFont="1" applyBorder="1" applyAlignment="1">
      <alignment wrapText="1"/>
    </xf>
    <xf numFmtId="164" fontId="5" fillId="0" borderId="15" xfId="2" applyFont="1" applyBorder="1"/>
    <xf numFmtId="0" fontId="8" fillId="0" borderId="13" xfId="0" applyFont="1" applyBorder="1" applyAlignment="1">
      <alignment horizontal="center" vertical="center"/>
    </xf>
    <xf numFmtId="0" fontId="9" fillId="0" borderId="12" xfId="0" applyFont="1" applyBorder="1" applyAlignment="1">
      <alignment horizontal="left" wrapText="1"/>
    </xf>
    <xf numFmtId="0" fontId="9" fillId="0" borderId="0" xfId="0" applyFont="1" applyAlignment="1">
      <alignment horizontal="left" wrapText="1"/>
    </xf>
    <xf numFmtId="0" fontId="8" fillId="0" borderId="0" xfId="0" applyFont="1" applyAlignment="1">
      <alignment horizontal="center"/>
    </xf>
    <xf numFmtId="0" fontId="8" fillId="0" borderId="0" xfId="0" applyFont="1"/>
    <xf numFmtId="0" fontId="10" fillId="0" borderId="1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3" fillId="0" borderId="18" xfId="0" applyFont="1" applyBorder="1"/>
    <xf numFmtId="0" fontId="11" fillId="0" borderId="0" xfId="0" applyFont="1"/>
    <xf numFmtId="0" fontId="3" fillId="0" borderId="19" xfId="0" applyFont="1" applyBorder="1"/>
    <xf numFmtId="0" fontId="3" fillId="0" borderId="20" xfId="0" applyFont="1" applyBorder="1"/>
    <xf numFmtId="0" fontId="3" fillId="0" borderId="14" xfId="0" applyFont="1" applyBorder="1"/>
    <xf numFmtId="0" fontId="5" fillId="0" borderId="25" xfId="0" applyFont="1" applyBorder="1"/>
    <xf numFmtId="0" fontId="5" fillId="0" borderId="26" xfId="0" applyFont="1" applyBorder="1"/>
    <xf numFmtId="0" fontId="8" fillId="0" borderId="25" xfId="0" applyFont="1" applyBorder="1"/>
    <xf numFmtId="0" fontId="9" fillId="0" borderId="0" xfId="0" applyFont="1" applyAlignment="1">
      <alignment horizontal="right"/>
    </xf>
    <xf numFmtId="0" fontId="8" fillId="2" borderId="25" xfId="0" applyFont="1" applyFill="1" applyBorder="1"/>
    <xf numFmtId="0" fontId="8" fillId="2" borderId="0" xfId="0" applyFont="1" applyFill="1"/>
    <xf numFmtId="0" fontId="3" fillId="0" borderId="25" xfId="0" applyFont="1" applyBorder="1"/>
    <xf numFmtId="0" fontId="3" fillId="0" borderId="26" xfId="0" applyFont="1" applyBorder="1"/>
    <xf numFmtId="0" fontId="14" fillId="0" borderId="0" xfId="0" applyFont="1"/>
    <xf numFmtId="0" fontId="3" fillId="0" borderId="27" xfId="0" applyFont="1" applyBorder="1"/>
    <xf numFmtId="0" fontId="3" fillId="0" borderId="28" xfId="0" applyFont="1" applyBorder="1"/>
    <xf numFmtId="0" fontId="12" fillId="0" borderId="28" xfId="0" applyFont="1" applyBorder="1"/>
    <xf numFmtId="0" fontId="3" fillId="0" borderId="29" xfId="0" applyFont="1" applyBorder="1"/>
    <xf numFmtId="0" fontId="12" fillId="0" borderId="0" xfId="0" applyFont="1"/>
    <xf numFmtId="0" fontId="5" fillId="0" borderId="0" xfId="0" applyFont="1" applyAlignment="1">
      <alignment horizontal="right"/>
    </xf>
    <xf numFmtId="0" fontId="8" fillId="0" borderId="12" xfId="0" applyFont="1" applyBorder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12" xfId="0" applyFont="1" applyBorder="1"/>
    <xf numFmtId="168" fontId="9" fillId="0" borderId="0" xfId="0" applyNumberFormat="1" applyFont="1"/>
    <xf numFmtId="167" fontId="5" fillId="3" borderId="0" xfId="0" applyNumberFormat="1" applyFont="1" applyFill="1"/>
    <xf numFmtId="168" fontId="9" fillId="0" borderId="0" xfId="2" applyNumberFormat="1" applyFont="1" applyBorder="1"/>
    <xf numFmtId="168" fontId="5" fillId="0" borderId="0" xfId="0" applyNumberFormat="1" applyFont="1"/>
    <xf numFmtId="165" fontId="5" fillId="0" borderId="0" xfId="0" applyNumberFormat="1" applyFont="1"/>
    <xf numFmtId="0" fontId="10" fillId="0" borderId="0" xfId="0" applyFont="1"/>
    <xf numFmtId="0" fontId="10" fillId="0" borderId="0" xfId="0" applyFont="1" applyAlignment="1">
      <alignment vertical="center" wrapText="1"/>
    </xf>
    <xf numFmtId="166" fontId="3" fillId="0" borderId="0" xfId="0" applyNumberFormat="1" applyFont="1"/>
    <xf numFmtId="0" fontId="17" fillId="0" borderId="33" xfId="0" applyFont="1" applyBorder="1" applyAlignment="1">
      <alignment horizontal="centerContinuous"/>
    </xf>
    <xf numFmtId="0" fontId="18" fillId="0" borderId="0" xfId="0" applyFont="1"/>
    <xf numFmtId="0" fontId="17" fillId="0" borderId="33" xfId="0" applyFont="1" applyBorder="1" applyAlignment="1">
      <alignment horizontal="center"/>
    </xf>
    <xf numFmtId="0" fontId="18" fillId="0" borderId="15" xfId="0" applyFont="1" applyBorder="1"/>
    <xf numFmtId="165" fontId="3" fillId="0" borderId="0" xfId="0" applyNumberFormat="1" applyFont="1"/>
    <xf numFmtId="0" fontId="10" fillId="0" borderId="0" xfId="0" applyFont="1" applyAlignment="1">
      <alignment horizontal="center" vertical="center" wrapText="1"/>
    </xf>
    <xf numFmtId="0" fontId="3" fillId="10" borderId="15" xfId="0" applyFont="1" applyFill="1" applyBorder="1"/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right"/>
    </xf>
    <xf numFmtId="165" fontId="18" fillId="0" borderId="15" xfId="0" applyNumberFormat="1" applyFont="1" applyBorder="1"/>
    <xf numFmtId="0" fontId="10" fillId="2" borderId="34" xfId="0" applyFont="1" applyFill="1" applyBorder="1" applyAlignment="1">
      <alignment horizontal="center" vertical="center"/>
    </xf>
    <xf numFmtId="170" fontId="3" fillId="0" borderId="12" xfId="0" applyNumberFormat="1" applyFont="1" applyBorder="1"/>
    <xf numFmtId="0" fontId="8" fillId="2" borderId="34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8" fillId="6" borderId="0" xfId="0" applyFont="1" applyFill="1" applyAlignment="1">
      <alignment vertical="center"/>
    </xf>
    <xf numFmtId="0" fontId="10" fillId="0" borderId="13" xfId="0" applyFont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13" fillId="0" borderId="0" xfId="0" applyFont="1" applyAlignment="1">
      <alignment horizontal="right"/>
    </xf>
    <xf numFmtId="0" fontId="9" fillId="0" borderId="0" xfId="0" applyFont="1" applyAlignment="1">
      <alignment wrapText="1"/>
    </xf>
    <xf numFmtId="0" fontId="5" fillId="0" borderId="19" xfId="0" applyFont="1" applyBorder="1"/>
    <xf numFmtId="0" fontId="5" fillId="0" borderId="7" xfId="0" applyFont="1" applyBorder="1"/>
    <xf numFmtId="0" fontId="5" fillId="0" borderId="20" xfId="0" applyFont="1" applyBorder="1"/>
    <xf numFmtId="0" fontId="8" fillId="5" borderId="11" xfId="0" applyFont="1" applyFill="1" applyBorder="1" applyAlignment="1">
      <alignment vertical="center"/>
    </xf>
    <xf numFmtId="166" fontId="10" fillId="0" borderId="0" xfId="3" applyNumberFormat="1" applyFont="1" applyAlignment="1">
      <alignment vertical="center"/>
    </xf>
    <xf numFmtId="167" fontId="5" fillId="0" borderId="0" xfId="0" applyNumberFormat="1" applyFont="1"/>
    <xf numFmtId="167" fontId="5" fillId="0" borderId="0" xfId="0" applyNumberFormat="1" applyFont="1" applyAlignment="1">
      <alignment wrapText="1"/>
    </xf>
    <xf numFmtId="172" fontId="5" fillId="0" borderId="0" xfId="2" applyNumberFormat="1" applyFont="1" applyBorder="1"/>
    <xf numFmtId="172" fontId="5" fillId="0" borderId="15" xfId="2" applyNumberFormat="1" applyFont="1" applyBorder="1"/>
    <xf numFmtId="0" fontId="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71" fontId="3" fillId="0" borderId="0" xfId="3" applyNumberFormat="1" applyFont="1" applyBorder="1"/>
    <xf numFmtId="0" fontId="3" fillId="10" borderId="0" xfId="0" applyFont="1" applyFill="1"/>
    <xf numFmtId="165" fontId="18" fillId="0" borderId="0" xfId="0" applyNumberFormat="1" applyFont="1"/>
    <xf numFmtId="0" fontId="10" fillId="0" borderId="12" xfId="0" applyFont="1" applyBorder="1" applyAlignment="1">
      <alignment vertical="center" wrapText="1"/>
    </xf>
    <xf numFmtId="0" fontId="19" fillId="0" borderId="0" xfId="0" applyFont="1" applyAlignment="1">
      <alignment vertical="center" wrapText="1"/>
    </xf>
    <xf numFmtId="9" fontId="3" fillId="0" borderId="0" xfId="3" applyFont="1" applyBorder="1"/>
    <xf numFmtId="0" fontId="17" fillId="0" borderId="0" xfId="0" applyFont="1" applyAlignment="1">
      <alignment horizontal="center"/>
    </xf>
    <xf numFmtId="0" fontId="3" fillId="0" borderId="15" xfId="0" applyFont="1" applyBorder="1" applyAlignment="1">
      <alignment horizontal="right"/>
    </xf>
    <xf numFmtId="0" fontId="3" fillId="0" borderId="9" xfId="0" applyFont="1" applyBorder="1"/>
    <xf numFmtId="0" fontId="3" fillId="0" borderId="10" xfId="0" applyFont="1" applyBorder="1"/>
    <xf numFmtId="0" fontId="10" fillId="0" borderId="10" xfId="0" applyFont="1" applyBorder="1"/>
    <xf numFmtId="0" fontId="3" fillId="0" borderId="11" xfId="0" applyFont="1" applyBorder="1"/>
    <xf numFmtId="0" fontId="10" fillId="0" borderId="0" xfId="0" applyFont="1" applyAlignment="1">
      <alignment wrapText="1"/>
    </xf>
    <xf numFmtId="14" fontId="3" fillId="0" borderId="12" xfId="0" applyNumberFormat="1" applyFont="1" applyBorder="1"/>
    <xf numFmtId="0" fontId="3" fillId="0" borderId="0" xfId="0" quotePrefix="1" applyFont="1"/>
    <xf numFmtId="14" fontId="3" fillId="0" borderId="0" xfId="0" applyNumberFormat="1" applyFont="1"/>
    <xf numFmtId="0" fontId="16" fillId="0" borderId="0" xfId="0" applyFont="1" applyAlignment="1">
      <alignment horizontal="left"/>
    </xf>
    <xf numFmtId="169" fontId="3" fillId="0" borderId="0" xfId="0" applyNumberFormat="1" applyFont="1"/>
    <xf numFmtId="0" fontId="15" fillId="0" borderId="0" xfId="0" applyFont="1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5" fillId="0" borderId="13" xfId="0" applyFont="1" applyBorder="1" applyAlignment="1">
      <alignment horizontal="center"/>
    </xf>
    <xf numFmtId="0" fontId="8" fillId="0" borderId="13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7" fillId="0" borderId="0" xfId="1" applyFont="1" applyBorder="1" applyAlignment="1">
      <alignment vertical="center" wrapText="1"/>
    </xf>
    <xf numFmtId="0" fontId="5" fillId="0" borderId="16" xfId="0" applyFont="1" applyBorder="1" applyAlignment="1">
      <alignment horizontal="center"/>
    </xf>
    <xf numFmtId="0" fontId="5" fillId="0" borderId="15" xfId="0" applyFont="1" applyBorder="1" applyAlignment="1">
      <alignment horizontal="left"/>
    </xf>
    <xf numFmtId="0" fontId="22" fillId="0" borderId="12" xfId="0" applyFont="1" applyBorder="1"/>
    <xf numFmtId="0" fontId="22" fillId="0" borderId="0" xfId="0" applyFont="1"/>
    <xf numFmtId="0" fontId="11" fillId="0" borderId="17" xfId="0" applyFont="1" applyBorder="1"/>
    <xf numFmtId="0" fontId="8" fillId="9" borderId="0" xfId="0" applyFont="1" applyFill="1" applyAlignment="1">
      <alignment horizontal="center" vertical="center"/>
    </xf>
    <xf numFmtId="0" fontId="1" fillId="0" borderId="0" xfId="1" applyBorder="1"/>
    <xf numFmtId="0" fontId="10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/>
    </xf>
    <xf numFmtId="0" fontId="1" fillId="0" borderId="14" xfId="1" applyBorder="1"/>
    <xf numFmtId="0" fontId="1" fillId="0" borderId="0" xfId="1"/>
    <xf numFmtId="0" fontId="23" fillId="0" borderId="10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3" borderId="30" xfId="0" applyFont="1" applyFill="1" applyBorder="1" applyAlignment="1">
      <alignment horizontal="center" vertical="center"/>
    </xf>
    <xf numFmtId="0" fontId="8" fillId="3" borderId="31" xfId="0" applyFont="1" applyFill="1" applyBorder="1" applyAlignment="1">
      <alignment horizontal="center" vertical="center"/>
    </xf>
    <xf numFmtId="0" fontId="8" fillId="3" borderId="32" xfId="0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0" fontId="8" fillId="8" borderId="31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0" fontId="10" fillId="9" borderId="30" xfId="0" applyFont="1" applyFill="1" applyBorder="1" applyAlignment="1">
      <alignment horizontal="center" vertical="center"/>
    </xf>
    <xf numFmtId="0" fontId="10" fillId="9" borderId="31" xfId="0" applyFont="1" applyFill="1" applyBorder="1" applyAlignment="1">
      <alignment horizontal="center" vertical="center"/>
    </xf>
    <xf numFmtId="0" fontId="10" fillId="9" borderId="32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center"/>
    </xf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ED7C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Graph (a) Bond</a:t>
            </a:r>
            <a:r>
              <a:rPr lang="en-GB" b="1" baseline="0"/>
              <a:t> Price</a:t>
            </a:r>
            <a:r>
              <a:rPr lang="en-GB" b="1"/>
              <a:t> vs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'BP vs r etc'!$D$5:$D$20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etc'!$E$5:$E$20</c:f>
              <c:numCache>
                <c:formatCode>General</c:formatCode>
                <c:ptCount val="16"/>
                <c:pt idx="0">
                  <c:v>1147.0492603617779</c:v>
                </c:pt>
                <c:pt idx="1">
                  <c:v>1115.3553309059109</c:v>
                </c:pt>
                <c:pt idx="2">
                  <c:v>1084.8583406468406</c:v>
                </c:pt>
                <c:pt idx="3">
                  <c:v>1055.5018206645427</c:v>
                </c:pt>
                <c:pt idx="4">
                  <c:v>1027.2324802937048</c:v>
                </c:pt>
                <c:pt idx="5">
                  <c:v>1000</c:v>
                </c:pt>
                <c:pt idx="6">
                  <c:v>973.756839555836</c:v>
                </c:pt>
                <c:pt idx="7">
                  <c:v>948.45806025504237</c:v>
                </c:pt>
                <c:pt idx="8">
                  <c:v>924.06116002035469</c:v>
                </c:pt>
                <c:pt idx="9">
                  <c:v>900.52592036063106</c:v>
                </c:pt>
                <c:pt idx="10">
                  <c:v>877.8142642277046</c:v>
                </c:pt>
                <c:pt idx="11">
                  <c:v>855.89012390670541</c:v>
                </c:pt>
                <c:pt idx="12">
                  <c:v>834.71931814952848</c:v>
                </c:pt>
                <c:pt idx="13">
                  <c:v>814.26943782972342</c:v>
                </c:pt>
                <c:pt idx="14">
                  <c:v>794.50973945919304</c:v>
                </c:pt>
                <c:pt idx="15">
                  <c:v>775.41104596334424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CE-4FB6-B226-809D377AD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215536"/>
        <c:axId val="153313248"/>
      </c:scatterChart>
      <c:valAx>
        <c:axId val="204321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13248"/>
        <c:crosses val="autoZero"/>
        <c:crossBetween val="midCat"/>
      </c:valAx>
      <c:valAx>
        <c:axId val="15331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21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Graph (b) Bond</a:t>
            </a:r>
            <a:r>
              <a:rPr lang="en-US" b="1" baseline="0"/>
              <a:t> Price Vs CPr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'BP vs r etc'!$D$23:$D$31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'BP vs r etc'!$E$23:$E$31</c:f>
              <c:numCache>
                <c:formatCode>General</c:formatCode>
                <c:ptCount val="9"/>
                <c:pt idx="0">
                  <c:v>1118.488387664524</c:v>
                </c:pt>
                <c:pt idx="1">
                  <c:v>1387.7801778111698</c:v>
                </c:pt>
                <c:pt idx="2">
                  <c:v>1657.0719679578158</c:v>
                </c:pt>
                <c:pt idx="3">
                  <c:v>1926.3637581044613</c:v>
                </c:pt>
                <c:pt idx="4">
                  <c:v>2195.6555482511071</c:v>
                </c:pt>
                <c:pt idx="5">
                  <c:v>2464.9473383977534</c:v>
                </c:pt>
                <c:pt idx="6">
                  <c:v>2734.2391285443991</c:v>
                </c:pt>
                <c:pt idx="7">
                  <c:v>3003.5309186910445</c:v>
                </c:pt>
                <c:pt idx="8">
                  <c:v>3272.8227088376902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E1-4406-8193-6B9054AFC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414336"/>
        <c:axId val="1598438336"/>
      </c:scatterChart>
      <c:valAx>
        <c:axId val="159841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438336"/>
        <c:crosses val="autoZero"/>
        <c:crossBetween val="midCat"/>
      </c:valAx>
      <c:valAx>
        <c:axId val="15984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41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 (c) Bond Price</a:t>
            </a:r>
            <a:r>
              <a:rPr lang="en-US" baseline="0"/>
              <a:t> Vs Maturity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'BP vs r etc'!$D$34:$D$40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'BP vs r etc'!$E$34:$E$40</c:f>
              <c:numCache>
                <c:formatCode>General</c:formatCode>
                <c:ptCount val="7"/>
                <c:pt idx="0">
                  <c:v>1003.7878787878788</c:v>
                </c:pt>
                <c:pt idx="1">
                  <c:v>1010.7716716058658</c:v>
                </c:pt>
                <c:pt idx="2">
                  <c:v>1030.0064075681082</c:v>
                </c:pt>
                <c:pt idx="3">
                  <c:v>1039.8848309232578</c:v>
                </c:pt>
                <c:pt idx="4">
                  <c:v>1047.4074322042084</c:v>
                </c:pt>
                <c:pt idx="5">
                  <c:v>1053.1360315968091</c:v>
                </c:pt>
                <c:pt idx="6">
                  <c:v>1057.4984655176395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8-48FE-B467-8AE87D0DA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08"/>
        <c:axId val="2303808"/>
      </c:scatterChart>
      <c:valAx>
        <c:axId val="22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808"/>
        <c:crosses val="autoZero"/>
        <c:crossBetween val="midCat"/>
      </c:valAx>
      <c:valAx>
        <c:axId val="230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Graph (d) BP vs r vs</a:t>
            </a:r>
            <a:r>
              <a:rPr lang="en-GB" baseline="0"/>
              <a:t> 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'BP vs r vs T'!$F$23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T'!$F$24:$F$39</c:f>
              <c:numCache>
                <c:formatCode>General</c:formatCode>
                <c:ptCount val="16"/>
                <c:pt idx="0">
                  <c:v>1049.5049504950496</c:v>
                </c:pt>
                <c:pt idx="1">
                  <c:v>1039.2156862745098</c:v>
                </c:pt>
                <c:pt idx="2">
                  <c:v>1029.1262135922329</c:v>
                </c:pt>
                <c:pt idx="3">
                  <c:v>1019.2307692307693</c:v>
                </c:pt>
                <c:pt idx="4">
                  <c:v>1003.7878787878788</c:v>
                </c:pt>
                <c:pt idx="5">
                  <c:v>1000</c:v>
                </c:pt>
                <c:pt idx="6">
                  <c:v>990.65420560747657</c:v>
                </c:pt>
                <c:pt idx="7">
                  <c:v>981.48148148148152</c:v>
                </c:pt>
                <c:pt idx="8">
                  <c:v>972.47706422018348</c:v>
                </c:pt>
                <c:pt idx="9">
                  <c:v>963.63636363636351</c:v>
                </c:pt>
                <c:pt idx="10">
                  <c:v>954.95495495495481</c:v>
                </c:pt>
                <c:pt idx="11">
                  <c:v>946.42857142857133</c:v>
                </c:pt>
                <c:pt idx="12">
                  <c:v>938.05309734513276</c:v>
                </c:pt>
                <c:pt idx="13">
                  <c:v>929.82456140350871</c:v>
                </c:pt>
                <c:pt idx="14">
                  <c:v>921.73913043478274</c:v>
                </c:pt>
                <c:pt idx="15">
                  <c:v>913.79310344827582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6C-49B9-AA66-22A8DDB0D138}"/>
            </c:ext>
          </c:extLst>
        </c:ser>
        <c:ser>
          <c:idx val="1"/>
          <c:order val="1"/>
          <c:tx>
            <c:strRef>
              <c:f>'BP vs r vs T'!$G$23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T'!$G$24:$G$39</c:f>
              <c:numCache>
                <c:formatCode>General</c:formatCode>
                <c:ptCount val="16"/>
                <c:pt idx="0">
                  <c:v>1147.0492603617779</c:v>
                </c:pt>
                <c:pt idx="1">
                  <c:v>1115.3553309059109</c:v>
                </c:pt>
                <c:pt idx="2">
                  <c:v>1084.8583406468406</c:v>
                </c:pt>
                <c:pt idx="3">
                  <c:v>1055.5018206645427</c:v>
                </c:pt>
                <c:pt idx="4">
                  <c:v>1010.7716716058658</c:v>
                </c:pt>
                <c:pt idx="5">
                  <c:v>1000</c:v>
                </c:pt>
                <c:pt idx="6">
                  <c:v>973.756839555836</c:v>
                </c:pt>
                <c:pt idx="7">
                  <c:v>948.45806025504237</c:v>
                </c:pt>
                <c:pt idx="8">
                  <c:v>924.06116002035469</c:v>
                </c:pt>
                <c:pt idx="9">
                  <c:v>900.52592036063106</c:v>
                </c:pt>
                <c:pt idx="10">
                  <c:v>877.8142642277046</c:v>
                </c:pt>
                <c:pt idx="11">
                  <c:v>855.89012390670541</c:v>
                </c:pt>
                <c:pt idx="12">
                  <c:v>834.71931814952848</c:v>
                </c:pt>
                <c:pt idx="13">
                  <c:v>814.26943782972342</c:v>
                </c:pt>
                <c:pt idx="14">
                  <c:v>794.50973945919304</c:v>
                </c:pt>
                <c:pt idx="15">
                  <c:v>775.41104596334424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6C-49B9-AA66-22A8DDB0D138}"/>
            </c:ext>
          </c:extLst>
        </c:ser>
        <c:ser>
          <c:idx val="2"/>
          <c:order val="2"/>
          <c:tx>
            <c:strRef>
              <c:f>'BP vs r vs T'!$H$23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T'!$H$24:$H$39</c:f>
              <c:numCache>
                <c:formatCode>General</c:formatCode>
                <c:ptCount val="16"/>
                <c:pt idx="0">
                  <c:v>1473.5652265350836</c:v>
                </c:pt>
                <c:pt idx="1">
                  <c:v>1359.3034002496897</c:v>
                </c:pt>
                <c:pt idx="2">
                  <c:v>1255.906085103275</c:v>
                </c:pt>
                <c:pt idx="3">
                  <c:v>1162.2179155871006</c:v>
                </c:pt>
                <c:pt idx="4">
                  <c:v>1030.0064075681082</c:v>
                </c:pt>
                <c:pt idx="5">
                  <c:v>1000</c:v>
                </c:pt>
                <c:pt idx="6">
                  <c:v>929.76418459067395</c:v>
                </c:pt>
                <c:pt idx="7">
                  <c:v>865.79837202117096</c:v>
                </c:pt>
                <c:pt idx="8">
                  <c:v>807.47026896522971</c:v>
                </c:pt>
                <c:pt idx="9">
                  <c:v>754.21731577181254</c:v>
                </c:pt>
                <c:pt idx="10">
                  <c:v>705.53839944293952</c:v>
                </c:pt>
                <c:pt idx="11">
                  <c:v>660.98661829534797</c:v>
                </c:pt>
                <c:pt idx="12">
                  <c:v>620.16295668329826</c:v>
                </c:pt>
                <c:pt idx="13">
                  <c:v>582.71074829651343</c:v>
                </c:pt>
                <c:pt idx="14">
                  <c:v>548.31082367311956</c:v>
                </c:pt>
                <c:pt idx="15">
                  <c:v>516.67725215425287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6C-49B9-AA66-22A8DDB0D138}"/>
            </c:ext>
          </c:extLst>
        </c:ser>
        <c:ser>
          <c:idx val="3"/>
          <c:order val="3"/>
          <c:tx>
            <c:strRef>
              <c:f>'BP vs r vs T'!$I$23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T'!$I$24:$I$39</c:f>
              <c:numCache>
                <c:formatCode>General</c:formatCode>
                <c:ptCount val="16"/>
                <c:pt idx="0">
                  <c:v>1693.2526258581056</c:v>
                </c:pt>
                <c:pt idx="1">
                  <c:v>1513.970540022962</c:v>
                </c:pt>
                <c:pt idx="2">
                  <c:v>1358.1380526032826</c:v>
                </c:pt>
                <c:pt idx="3">
                  <c:v>1222.3677486433626</c:v>
                </c:pt>
                <c:pt idx="4">
                  <c:v>1039.8848309232578</c:v>
                </c:pt>
                <c:pt idx="5">
                  <c:v>1000</c:v>
                </c:pt>
                <c:pt idx="6">
                  <c:v>908.9208599489084</c:v>
                </c:pt>
                <c:pt idx="7">
                  <c:v>828.81042624147244</c:v>
                </c:pt>
                <c:pt idx="8">
                  <c:v>758.1793471043726</c:v>
                </c:pt>
                <c:pt idx="9">
                  <c:v>695.7568197476653</c:v>
                </c:pt>
                <c:pt idx="10">
                  <c:v>640.45652120469026</c:v>
                </c:pt>
                <c:pt idx="11">
                  <c:v>591.34813063209958</c:v>
                </c:pt>
                <c:pt idx="12">
                  <c:v>547.63348237121795</c:v>
                </c:pt>
                <c:pt idx="13">
                  <c:v>508.62656118237635</c:v>
                </c:pt>
                <c:pt idx="14">
                  <c:v>473.73669112320192</c:v>
                </c:pt>
                <c:pt idx="15">
                  <c:v>442.45438373875959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6C-49B9-AA66-22A8DDB0D138}"/>
            </c:ext>
          </c:extLst>
        </c:ser>
        <c:ser>
          <c:idx val="4"/>
          <c:order val="4"/>
          <c:tx>
            <c:strRef>
              <c:f>'BP vs r vs T'!$J$23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T'!$J$24:$J$39</c:f>
              <c:numCache>
                <c:formatCode>General</c:formatCode>
                <c:ptCount val="16"/>
                <c:pt idx="0">
                  <c:v>1902.2776483135231</c:v>
                </c:pt>
                <c:pt idx="1">
                  <c:v>1654.057333783885</c:v>
                </c:pt>
                <c:pt idx="2">
                  <c:v>1446.3242458136656</c:v>
                </c:pt>
                <c:pt idx="3">
                  <c:v>1271.8065268993539</c:v>
                </c:pt>
                <c:pt idx="4">
                  <c:v>1047.4074322042084</c:v>
                </c:pt>
                <c:pt idx="5">
                  <c:v>1000</c:v>
                </c:pt>
                <c:pt idx="6">
                  <c:v>894.05985754483822</c:v>
                </c:pt>
                <c:pt idx="7">
                  <c:v>803.63705185101412</c:v>
                </c:pt>
                <c:pt idx="8">
                  <c:v>726.14362992742235</c:v>
                </c:pt>
                <c:pt idx="9">
                  <c:v>659.45745120965739</c:v>
                </c:pt>
                <c:pt idx="10">
                  <c:v>601.8335941316559</c:v>
                </c:pt>
                <c:pt idx="11">
                  <c:v>551.83338254034413</c:v>
                </c:pt>
                <c:pt idx="12">
                  <c:v>508.26738953551961</c:v>
                </c:pt>
                <c:pt idx="13">
                  <c:v>470.14955587072438</c:v>
                </c:pt>
                <c:pt idx="14">
                  <c:v>436.66016736433187</c:v>
                </c:pt>
                <c:pt idx="15">
                  <c:v>407.11591004476759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6C-49B9-AA66-22A8DDB0D138}"/>
            </c:ext>
          </c:extLst>
        </c:ser>
        <c:ser>
          <c:idx val="5"/>
          <c:order val="5"/>
          <c:tx>
            <c:strRef>
              <c:f>'BP vs r vs T'!$K$23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T'!$K$24:$K$39</c:f>
              <c:numCache>
                <c:formatCode>General</c:formatCode>
                <c:ptCount val="16"/>
                <c:pt idx="0">
                  <c:v>2101.1577850310828</c:v>
                </c:pt>
                <c:pt idx="1">
                  <c:v>1780.9382589434422</c:v>
                </c:pt>
                <c:pt idx="2">
                  <c:v>1522.394430738341</c:v>
                </c:pt>
                <c:pt idx="3">
                  <c:v>1312.4415988730179</c:v>
                </c:pt>
                <c:pt idx="4">
                  <c:v>1053.1360315968091</c:v>
                </c:pt>
                <c:pt idx="5">
                  <c:v>1000</c:v>
                </c:pt>
                <c:pt idx="6">
                  <c:v>883.46416821746266</c:v>
                </c:pt>
                <c:pt idx="7">
                  <c:v>786.50447622822833</c:v>
                </c:pt>
                <c:pt idx="8">
                  <c:v>705.32261185154539</c:v>
                </c:pt>
                <c:pt idx="9">
                  <c:v>636.9183992708256</c:v>
                </c:pt>
                <c:pt idx="10">
                  <c:v>578.91276676665473</c:v>
                </c:pt>
                <c:pt idx="11">
                  <c:v>529.4116532761268</c:v>
                </c:pt>
                <c:pt idx="12">
                  <c:v>486.90105150746757</c:v>
                </c:pt>
                <c:pt idx="13">
                  <c:v>450.16580501344617</c:v>
                </c:pt>
                <c:pt idx="14">
                  <c:v>418.22658232568745</c:v>
                </c:pt>
                <c:pt idx="15">
                  <c:v>390.29080277418558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16C-49B9-AA66-22A8DDB0D138}"/>
            </c:ext>
          </c:extLst>
        </c:ser>
        <c:ser>
          <c:idx val="6"/>
          <c:order val="6"/>
          <c:tx>
            <c:strRef>
              <c:f>'BP vs r vs T'!$L$23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'BP vs r vs T'!$E$24:$E$39</c:f>
              <c:numCache>
                <c:formatCode>General</c:formatCode>
                <c:ptCount val="1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5.6000000000000001E-2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</c:numCache>
            </c:numRef>
          </c:xVal>
          <c:yVal>
            <c:numRef>
              <c:f>'BP vs r vs T'!$L$24:$L$39</c:f>
              <c:numCache>
                <c:formatCode>General</c:formatCode>
                <c:ptCount val="16"/>
                <c:pt idx="0">
                  <c:v>2290.3854110643797</c:v>
                </c:pt>
                <c:pt idx="1">
                  <c:v>1895.8582220401768</c:v>
                </c:pt>
                <c:pt idx="2">
                  <c:v>1588.0132404840938</c:v>
                </c:pt>
                <c:pt idx="3">
                  <c:v>1345.8406660132898</c:v>
                </c:pt>
                <c:pt idx="4">
                  <c:v>1057.4984655176395</c:v>
                </c:pt>
                <c:pt idx="5">
                  <c:v>1000.0000000000001</c:v>
                </c:pt>
                <c:pt idx="6">
                  <c:v>875.9095881649414</c:v>
                </c:pt>
                <c:pt idx="7">
                  <c:v>774.84433313745023</c:v>
                </c:pt>
                <c:pt idx="8">
                  <c:v>691.79037870934769</c:v>
                </c:pt>
                <c:pt idx="9">
                  <c:v>622.92342132046724</c:v>
                </c:pt>
                <c:pt idx="10">
                  <c:v>565.31037132669383</c:v>
                </c:pt>
                <c:pt idx="11">
                  <c:v>516.68896193995829</c:v>
                </c:pt>
                <c:pt idx="12">
                  <c:v>475.30425924681953</c:v>
                </c:pt>
                <c:pt idx="13">
                  <c:v>439.78687102180231</c:v>
                </c:pt>
                <c:pt idx="14">
                  <c:v>409.06183269633078</c:v>
                </c:pt>
                <c:pt idx="15">
                  <c:v>382.2801502169213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16C-49B9-AA66-22A8DDB0D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149456"/>
        <c:axId val="1044209472"/>
      </c:scatterChart>
      <c:valAx>
        <c:axId val="104114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209472"/>
        <c:crosses val="autoZero"/>
        <c:crossBetween val="midCat"/>
      </c:valAx>
      <c:valAx>
        <c:axId val="10442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Graph (e) Duration vs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'Dur vs etc'!$D$5:$D$11</c:f>
              <c:numCache>
                <c:formatCode>General</c:formatCode>
                <c:ptCount val="7"/>
                <c:pt idx="0">
                  <c:v>3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'Dur vs etc'!$E$5:$E$11</c:f>
              <c:numCache>
                <c:formatCode>General</c:formatCode>
                <c:ptCount val="7"/>
                <c:pt idx="0">
                  <c:v>2.8357650422570746</c:v>
                </c:pt>
                <c:pt idx="1">
                  <c:v>4.4777512430879964</c:v>
                </c:pt>
                <c:pt idx="2">
                  <c:v>7.8921487007985753</c:v>
                </c:pt>
                <c:pt idx="3">
                  <c:v>10.541179453382567</c:v>
                </c:pt>
                <c:pt idx="4">
                  <c:v>12.62186387487267</c:v>
                </c:pt>
                <c:pt idx="5">
                  <c:v>14.270570061062804</c:v>
                </c:pt>
                <c:pt idx="6">
                  <c:v>15.585196848897212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87-4063-8F30-DE3E08561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352847"/>
        <c:axId val="270285327"/>
      </c:scatterChart>
      <c:valAx>
        <c:axId val="149135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285327"/>
        <c:crosses val="autoZero"/>
        <c:crossBetween val="midCat"/>
      </c:valAx>
      <c:valAx>
        <c:axId val="27028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52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 (f) Duration</a:t>
            </a:r>
            <a:r>
              <a:rPr lang="en-US" baseline="0"/>
              <a:t> vs cpr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'Dur vs etc'!$D$14:$D$23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</c:numCache>
            </c:numRef>
          </c:xVal>
          <c:yVal>
            <c:numRef>
              <c:f>'Dur vs etc'!$E$14:$E$23</c:f>
              <c:numCache>
                <c:formatCode>General</c:formatCode>
                <c:ptCount val="10"/>
                <c:pt idx="0">
                  <c:v>2.9684447783621337</c:v>
                </c:pt>
                <c:pt idx="1">
                  <c:v>2.938761111895019</c:v>
                </c:pt>
                <c:pt idx="2">
                  <c:v>2.9107872918712743</c:v>
                </c:pt>
                <c:pt idx="3">
                  <c:v>2.8843797176094483</c:v>
                </c:pt>
                <c:pt idx="4">
                  <c:v>2.8594104308390018</c:v>
                </c:pt>
                <c:pt idx="5">
                  <c:v>2.8357650422570746</c:v>
                </c:pt>
                <c:pt idx="6">
                  <c:v>2.8133409793761648</c:v>
                </c:pt>
                <c:pt idx="7">
                  <c:v>2.7920459990416866</c:v>
                </c:pt>
                <c:pt idx="8">
                  <c:v>2.7717969191220866</c:v>
                </c:pt>
                <c:pt idx="9">
                  <c:v>2.7525185325983652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59-49BC-88A7-FCA591489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821648"/>
        <c:axId val="1602815408"/>
      </c:scatterChart>
      <c:valAx>
        <c:axId val="16028216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815408"/>
        <c:crosses val="autoZero"/>
        <c:crossBetween val="midCat"/>
      </c:valAx>
      <c:valAx>
        <c:axId val="16028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82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 (g) Duration vs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'Dur vs etc'!$D$26:$D$35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</c:numCache>
            </c:numRef>
          </c:xVal>
          <c:yVal>
            <c:numRef>
              <c:f>'Dur vs etc'!$E$26:$E$35</c:f>
              <c:numCache>
                <c:formatCode>General</c:formatCode>
                <c:ptCount val="10"/>
                <c:pt idx="0">
                  <c:v>2.8451420960800675</c:v>
                </c:pt>
                <c:pt idx="1">
                  <c:v>2.8428149479902403</c:v>
                </c:pt>
                <c:pt idx="2">
                  <c:v>2.8404763069676262</c:v>
                </c:pt>
                <c:pt idx="3">
                  <c:v>2.8381262970649273</c:v>
                </c:pt>
                <c:pt idx="4">
                  <c:v>2.8357650422570746</c:v>
                </c:pt>
                <c:pt idx="5">
                  <c:v>2.8333926664293343</c:v>
                </c:pt>
                <c:pt idx="6">
                  <c:v>2.8310092933655455</c:v>
                </c:pt>
                <c:pt idx="7">
                  <c:v>2.8286150467364815</c:v>
                </c:pt>
                <c:pt idx="8">
                  <c:v>2.8262100500883269</c:v>
                </c:pt>
                <c:pt idx="9">
                  <c:v>2.8237944268313031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BB-416B-B7B4-CF5864072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819728"/>
        <c:axId val="1602837488"/>
      </c:scatterChart>
      <c:valAx>
        <c:axId val="160281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837488"/>
        <c:crosses val="autoZero"/>
        <c:crossBetween val="midCat"/>
      </c:valAx>
      <c:valAx>
        <c:axId val="160283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81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Vs Interest Payment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mortgage!$C$11</c:f>
              <c:strCache>
                <c:ptCount val="1"/>
                <c:pt idx="0">
                  <c:v>Interest Paid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mortgage!$C$12:$C$372</c:f>
              <c:numCache>
                <c:formatCode>_(* #,##0.000_);_(* \(#,##0.000\);_(* "-"??_);_(@_)</c:formatCode>
                <c:ptCount val="360"/>
                <c:pt idx="0">
                  <c:v>625</c:v>
                </c:pt>
                <c:pt idx="1">
                  <c:v>624.24903152284094</c:v>
                </c:pt>
                <c:pt idx="2">
                  <c:v>623.49493401036023</c:v>
                </c:pt>
                <c:pt idx="3">
                  <c:v>622.73769442491084</c:v>
                </c:pt>
                <c:pt idx="4">
                  <c:v>621.97729967452199</c:v>
                </c:pt>
                <c:pt idx="5">
                  <c:v>621.2137366126733</c:v>
                </c:pt>
                <c:pt idx="6">
                  <c:v>620.44699203806692</c:v>
                </c:pt>
                <c:pt idx="7">
                  <c:v>619.67705269439966</c:v>
                </c:pt>
                <c:pt idx="8">
                  <c:v>618.90390527013381</c:v>
                </c:pt>
                <c:pt idx="9">
                  <c:v>618.1275363982669</c:v>
                </c:pt>
                <c:pt idx="10">
                  <c:v>617.3479326561004</c:v>
                </c:pt>
                <c:pt idx="11">
                  <c:v>616.56508056500832</c:v>
                </c:pt>
                <c:pt idx="12">
                  <c:v>615.77896659020325</c:v>
                </c:pt>
                <c:pt idx="13">
                  <c:v>614.98957714050323</c:v>
                </c:pt>
                <c:pt idx="14">
                  <c:v>614.196898568096</c:v>
                </c:pt>
                <c:pt idx="15">
                  <c:v>613.40091716830386</c:v>
                </c:pt>
                <c:pt idx="16">
                  <c:v>612.6016191793459</c:v>
                </c:pt>
                <c:pt idx="17">
                  <c:v>611.79899078210065</c:v>
                </c:pt>
                <c:pt idx="18">
                  <c:v>610.99301809986684</c:v>
                </c:pt>
                <c:pt idx="19">
                  <c:v>610.18368719812372</c:v>
                </c:pt>
                <c:pt idx="20">
                  <c:v>609.37098408429017</c:v>
                </c:pt>
                <c:pt idx="21">
                  <c:v>608.55489470748216</c:v>
                </c:pt>
                <c:pt idx="22">
                  <c:v>607.73540495827081</c:v>
                </c:pt>
                <c:pt idx="23">
                  <c:v>606.9125006684377</c:v>
                </c:pt>
                <c:pt idx="24">
                  <c:v>606.08616761073029</c:v>
                </c:pt>
                <c:pt idx="25">
                  <c:v>605.25639149861581</c:v>
                </c:pt>
                <c:pt idx="26">
                  <c:v>604.4231579860342</c:v>
                </c:pt>
                <c:pt idx="27">
                  <c:v>603.58645266715007</c:v>
                </c:pt>
                <c:pt idx="28">
                  <c:v>602.74626107610402</c:v>
                </c:pt>
                <c:pt idx="29">
                  <c:v>601.90256868676192</c:v>
                </c:pt>
                <c:pt idx="30">
                  <c:v>601.05536091246415</c:v>
                </c:pt>
                <c:pt idx="31">
                  <c:v>600.20462310577363</c:v>
                </c:pt>
                <c:pt idx="32">
                  <c:v>599.35034055822177</c:v>
                </c:pt>
                <c:pt idx="33">
                  <c:v>598.49249850005526</c:v>
                </c:pt>
                <c:pt idx="34">
                  <c:v>597.63108209997961</c:v>
                </c:pt>
                <c:pt idx="35">
                  <c:v>596.76607646490368</c:v>
                </c:pt>
                <c:pt idx="36">
                  <c:v>595.89746663968162</c:v>
                </c:pt>
                <c:pt idx="37">
                  <c:v>595.02523760685438</c:v>
                </c:pt>
                <c:pt idx="38">
                  <c:v>594.14937428639041</c:v>
                </c:pt>
                <c:pt idx="39">
                  <c:v>593.26986153542441</c:v>
                </c:pt>
                <c:pt idx="40">
                  <c:v>592.38668414799611</c:v>
                </c:pt>
                <c:pt idx="41">
                  <c:v>591.49982685478699</c:v>
                </c:pt>
                <c:pt idx="42">
                  <c:v>590.60927432285598</c:v>
                </c:pt>
                <c:pt idx="43">
                  <c:v>589.71501115537524</c:v>
                </c:pt>
                <c:pt idx="44">
                  <c:v>588.81702189136354</c:v>
                </c:pt>
                <c:pt idx="45">
                  <c:v>587.91529100541845</c:v>
                </c:pt>
                <c:pt idx="46">
                  <c:v>587.00980290744837</c:v>
                </c:pt>
                <c:pt idx="47">
                  <c:v>586.10054194240354</c:v>
                </c:pt>
                <c:pt idx="48">
                  <c:v>585.18749239000442</c:v>
                </c:pt>
                <c:pt idx="49">
                  <c:v>584.27063846447015</c:v>
                </c:pt>
                <c:pt idx="50">
                  <c:v>583.34996431424622</c:v>
                </c:pt>
                <c:pt idx="51">
                  <c:v>582.42545402172971</c:v>
                </c:pt>
                <c:pt idx="52">
                  <c:v>581.49709160299437</c:v>
                </c:pt>
                <c:pt idx="53">
                  <c:v>580.56486100751431</c:v>
                </c:pt>
                <c:pt idx="54">
                  <c:v>579.62874611788641</c:v>
                </c:pt>
                <c:pt idx="55">
                  <c:v>578.68873074955172</c:v>
                </c:pt>
                <c:pt idx="56">
                  <c:v>577.74479865051558</c:v>
                </c:pt>
                <c:pt idx="57">
                  <c:v>576.79693350106686</c:v>
                </c:pt>
                <c:pt idx="58">
                  <c:v>575.84511891349541</c:v>
                </c:pt>
                <c:pt idx="59">
                  <c:v>574.88933843180905</c:v>
                </c:pt>
                <c:pt idx="60">
                  <c:v>573.92957553144913</c:v>
                </c:pt>
                <c:pt idx="61">
                  <c:v>572.96581361900428</c:v>
                </c:pt>
                <c:pt idx="62">
                  <c:v>571.99803603192424</c:v>
                </c:pt>
                <c:pt idx="63">
                  <c:v>571.02622603823136</c:v>
                </c:pt>
                <c:pt idx="64">
                  <c:v>570.05036683623155</c:v>
                </c:pt>
                <c:pt idx="65">
                  <c:v>569.07044155422329</c:v>
                </c:pt>
                <c:pt idx="66">
                  <c:v>568.0864332502066</c:v>
                </c:pt>
                <c:pt idx="67">
                  <c:v>567.09832491159</c:v>
                </c:pt>
                <c:pt idx="68">
                  <c:v>566.1060994548958</c:v>
                </c:pt>
                <c:pt idx="69">
                  <c:v>565.10973972546526</c:v>
                </c:pt>
                <c:pt idx="70">
                  <c:v>564.10922849716223</c:v>
                </c:pt>
                <c:pt idx="71">
                  <c:v>563.10454847207438</c:v>
                </c:pt>
                <c:pt idx="72">
                  <c:v>562.09568228021556</c:v>
                </c:pt>
                <c:pt idx="73">
                  <c:v>561.08261247922383</c:v>
                </c:pt>
                <c:pt idx="74">
                  <c:v>560.06532155406148</c:v>
                </c:pt>
                <c:pt idx="75">
                  <c:v>559.0437919167108</c:v>
                </c:pt>
                <c:pt idx="76">
                  <c:v>558.01800590587118</c:v>
                </c:pt>
                <c:pt idx="77">
                  <c:v>556.98794578665309</c:v>
                </c:pt>
                <c:pt idx="78">
                  <c:v>555.95359375027158</c:v>
                </c:pt>
                <c:pt idx="79">
                  <c:v>554.91493191373854</c:v>
                </c:pt>
                <c:pt idx="80">
                  <c:v>553.87194231955311</c:v>
                </c:pt>
                <c:pt idx="81">
                  <c:v>552.82460693539213</c:v>
                </c:pt>
                <c:pt idx="82">
                  <c:v>551.77290765379701</c:v>
                </c:pt>
                <c:pt idx="83">
                  <c:v>550.71682629186193</c:v>
                </c:pt>
                <c:pt idx="84">
                  <c:v>549.65634459091882</c:v>
                </c:pt>
                <c:pt idx="85">
                  <c:v>548.5914442162217</c:v>
                </c:pt>
                <c:pt idx="86">
                  <c:v>547.52210675663014</c:v>
                </c:pt>
                <c:pt idx="87">
                  <c:v>546.44831372429019</c:v>
                </c:pt>
                <c:pt idx="88">
                  <c:v>545.37004655431554</c:v>
                </c:pt>
                <c:pt idx="89">
                  <c:v>544.28728660446598</c:v>
                </c:pt>
                <c:pt idx="90">
                  <c:v>543.20001515482545</c:v>
                </c:pt>
                <c:pt idx="91">
                  <c:v>542.10821340747805</c:v>
                </c:pt>
                <c:pt idx="92">
                  <c:v>541.0118624861833</c:v>
                </c:pt>
                <c:pt idx="93">
                  <c:v>539.91094343604982</c:v>
                </c:pt>
                <c:pt idx="94">
                  <c:v>538.8054372232076</c:v>
                </c:pt>
                <c:pt idx="95">
                  <c:v>537.69532473447839</c:v>
                </c:pt>
                <c:pt idx="96">
                  <c:v>536.58058677704616</c:v>
                </c:pt>
                <c:pt idx="97">
                  <c:v>535.46120407812464</c:v>
                </c:pt>
                <c:pt idx="98">
                  <c:v>534.33715728462425</c:v>
                </c:pt>
                <c:pt idx="99">
                  <c:v>533.20842696281761</c:v>
                </c:pt>
                <c:pt idx="100">
                  <c:v>532.07499359800352</c:v>
                </c:pt>
                <c:pt idx="101">
                  <c:v>530.93683759416933</c:v>
                </c:pt>
                <c:pt idx="102">
                  <c:v>529.79393927365254</c:v>
                </c:pt>
                <c:pt idx="103">
                  <c:v>528.64627887680024</c:v>
                </c:pt>
                <c:pt idx="104">
                  <c:v>527.49383656162763</c:v>
                </c:pt>
                <c:pt idx="105">
                  <c:v>526.33659240347515</c:v>
                </c:pt>
                <c:pt idx="106">
                  <c:v>525.17452639466376</c:v>
                </c:pt>
                <c:pt idx="107">
                  <c:v>524.00761844414899</c:v>
                </c:pt>
                <c:pt idx="108">
                  <c:v>522.83584837717376</c:v>
                </c:pt>
                <c:pt idx="109">
                  <c:v>521.65919593491947</c:v>
                </c:pt>
                <c:pt idx="110">
                  <c:v>520.4776407741557</c:v>
                </c:pt>
                <c:pt idx="111">
                  <c:v>519.29116246688875</c:v>
                </c:pt>
                <c:pt idx="112">
                  <c:v>518.09974050000835</c:v>
                </c:pt>
                <c:pt idx="113">
                  <c:v>516.90335427493244</c:v>
                </c:pt>
                <c:pt idx="114">
                  <c:v>515.70198310725209</c:v>
                </c:pt>
                <c:pt idx="115">
                  <c:v>514.49560622637307</c:v>
                </c:pt>
                <c:pt idx="116">
                  <c:v>513.28420277515715</c:v>
                </c:pt>
                <c:pt idx="117">
                  <c:v>512.06775180956117</c:v>
                </c:pt>
                <c:pt idx="118">
                  <c:v>510.84623229827503</c:v>
                </c:pt>
                <c:pt idx="119">
                  <c:v>509.61962312235869</c:v>
                </c:pt>
                <c:pt idx="120">
                  <c:v>508.38790307487596</c:v>
                </c:pt>
                <c:pt idx="121">
                  <c:v>507.15105086052876</c:v>
                </c:pt>
                <c:pt idx="122">
                  <c:v>505.90904509528838</c:v>
                </c:pt>
                <c:pt idx="123">
                  <c:v>504.66186430602619</c:v>
                </c:pt>
                <c:pt idx="124">
                  <c:v>503.40948693014212</c:v>
                </c:pt>
                <c:pt idx="125">
                  <c:v>502.1518913151919</c:v>
                </c:pt>
                <c:pt idx="126">
                  <c:v>500.88905571851257</c:v>
                </c:pt>
                <c:pt idx="127">
                  <c:v>499.62095830684729</c:v>
                </c:pt>
                <c:pt idx="128">
                  <c:v>498.34757715596658</c:v>
                </c:pt>
                <c:pt idx="129">
                  <c:v>497.06889025029062</c:v>
                </c:pt>
                <c:pt idx="130">
                  <c:v>495.78487548250752</c:v>
                </c:pt>
                <c:pt idx="131">
                  <c:v>494.49551065319218</c:v>
                </c:pt>
                <c:pt idx="132">
                  <c:v>493.20077347042121</c:v>
                </c:pt>
                <c:pt idx="133">
                  <c:v>491.90064154938881</c:v>
                </c:pt>
                <c:pt idx="134">
                  <c:v>490.59509241201869</c:v>
                </c:pt>
                <c:pt idx="135">
                  <c:v>489.28410348657627</c:v>
                </c:pt>
                <c:pt idx="136">
                  <c:v>487.96765210727784</c:v>
                </c:pt>
                <c:pt idx="137">
                  <c:v>486.64571551389895</c:v>
                </c:pt>
                <c:pt idx="138">
                  <c:v>485.31827085138099</c:v>
                </c:pt>
                <c:pt idx="139">
                  <c:v>483.98529516943586</c:v>
                </c:pt>
                <c:pt idx="140">
                  <c:v>482.64676542214926</c:v>
                </c:pt>
                <c:pt idx="141">
                  <c:v>481.30265846758238</c:v>
                </c:pt>
                <c:pt idx="142">
                  <c:v>479.95295106737132</c:v>
                </c:pt>
                <c:pt idx="143">
                  <c:v>478.59761988632619</c:v>
                </c:pt>
                <c:pt idx="144">
                  <c:v>477.23664149202676</c:v>
                </c:pt>
                <c:pt idx="145">
                  <c:v>475.86999235441755</c:v>
                </c:pt>
                <c:pt idx="146">
                  <c:v>474.49764884540178</c:v>
                </c:pt>
                <c:pt idx="147">
                  <c:v>473.11958723843173</c:v>
                </c:pt>
                <c:pt idx="148">
                  <c:v>471.7357837080994</c:v>
                </c:pt>
                <c:pt idx="149">
                  <c:v>470.34621432972398</c:v>
                </c:pt>
                <c:pt idx="150">
                  <c:v>468.95085507893856</c:v>
                </c:pt>
                <c:pt idx="151">
                  <c:v>467.54968183127494</c:v>
                </c:pt>
                <c:pt idx="152">
                  <c:v>466.14267036174607</c:v>
                </c:pt>
                <c:pt idx="153">
                  <c:v>464.72979634442748</c:v>
                </c:pt>
                <c:pt idx="154">
                  <c:v>463.3110353520367</c:v>
                </c:pt>
                <c:pt idx="155">
                  <c:v>461.88636285551098</c:v>
                </c:pt>
                <c:pt idx="156">
                  <c:v>460.45575422358314</c:v>
                </c:pt>
                <c:pt idx="157">
                  <c:v>459.01918472235548</c:v>
                </c:pt>
                <c:pt idx="158">
                  <c:v>457.57662951487276</c:v>
                </c:pt>
                <c:pt idx="159">
                  <c:v>456.12806366069225</c:v>
                </c:pt>
                <c:pt idx="160">
                  <c:v>454.67346211545254</c:v>
                </c:pt>
                <c:pt idx="161">
                  <c:v>453.21279973044108</c:v>
                </c:pt>
                <c:pt idx="162">
                  <c:v>451.74605125215868</c:v>
                </c:pt>
                <c:pt idx="163">
                  <c:v>450.27319132188353</c:v>
                </c:pt>
                <c:pt idx="164">
                  <c:v>448.79419447523219</c:v>
                </c:pt>
                <c:pt idx="165">
                  <c:v>447.30903514171979</c:v>
                </c:pt>
                <c:pt idx="166">
                  <c:v>445.81768764431769</c:v>
                </c:pt>
                <c:pt idx="167">
                  <c:v>444.32012619900979</c:v>
                </c:pt>
                <c:pt idx="168">
                  <c:v>442.81632491434652</c:v>
                </c:pt>
                <c:pt idx="169">
                  <c:v>441.30625779099711</c:v>
                </c:pt>
                <c:pt idx="170">
                  <c:v>439.7898987213004</c:v>
                </c:pt>
                <c:pt idx="171">
                  <c:v>438.26722148881322</c:v>
                </c:pt>
                <c:pt idx="172">
                  <c:v>436.7381997678574</c:v>
                </c:pt>
                <c:pt idx="173">
                  <c:v>435.2028071230643</c:v>
                </c:pt>
                <c:pt idx="174">
                  <c:v>433.6610170089179</c:v>
                </c:pt>
                <c:pt idx="175">
                  <c:v>432.1128027692958</c:v>
                </c:pt>
                <c:pt idx="176">
                  <c:v>430.55813763700871</c:v>
                </c:pt>
                <c:pt idx="177">
                  <c:v>428.99699473333703</c:v>
                </c:pt>
                <c:pt idx="178">
                  <c:v>427.42934706756677</c:v>
                </c:pt>
                <c:pt idx="179">
                  <c:v>425.85516753652246</c:v>
                </c:pt>
                <c:pt idx="180">
                  <c:v>424.2744289240988</c:v>
                </c:pt>
                <c:pt idx="181">
                  <c:v>422.68710390078996</c:v>
                </c:pt>
                <c:pt idx="182">
                  <c:v>421.09316502321741</c:v>
                </c:pt>
                <c:pt idx="183">
                  <c:v>419.49258473365495</c:v>
                </c:pt>
                <c:pt idx="184">
                  <c:v>417.88533535955258</c:v>
                </c:pt>
                <c:pt idx="185">
                  <c:v>416.27138911305821</c:v>
                </c:pt>
                <c:pt idx="186">
                  <c:v>414.65071809053671</c:v>
                </c:pt>
                <c:pt idx="187">
                  <c:v>413.02329427208815</c:v>
                </c:pt>
                <c:pt idx="188">
                  <c:v>411.38908952106266</c:v>
                </c:pt>
                <c:pt idx="189">
                  <c:v>409.74807558357452</c:v>
                </c:pt>
                <c:pt idx="190">
                  <c:v>408.10022408801348</c:v>
                </c:pt>
                <c:pt idx="191">
                  <c:v>406.44550654455435</c:v>
                </c:pt>
                <c:pt idx="192">
                  <c:v>404.78389434466408</c:v>
                </c:pt>
                <c:pt idx="193">
                  <c:v>403.11535876060765</c:v>
                </c:pt>
                <c:pt idx="194">
                  <c:v>401.439870944951</c:v>
                </c:pt>
                <c:pt idx="195">
                  <c:v>399.75740193006237</c:v>
                </c:pt>
                <c:pt idx="196">
                  <c:v>398.06792262761178</c:v>
                </c:pt>
                <c:pt idx="197">
                  <c:v>396.37140382806768</c:v>
                </c:pt>
                <c:pt idx="198">
                  <c:v>394.66781620019202</c:v>
                </c:pt>
                <c:pt idx="199">
                  <c:v>392.9571302905336</c:v>
                </c:pt>
                <c:pt idx="200">
                  <c:v>391.23931652291827</c:v>
                </c:pt>
                <c:pt idx="201">
                  <c:v>389.51434519793793</c:v>
                </c:pt>
                <c:pt idx="202">
                  <c:v>387.78218649243678</c:v>
                </c:pt>
                <c:pt idx="203">
                  <c:v>386.04281045899603</c:v>
                </c:pt>
                <c:pt idx="204">
                  <c:v>384.29618702541597</c:v>
                </c:pt>
                <c:pt idx="205">
                  <c:v>382.54228599419599</c:v>
                </c:pt>
                <c:pt idx="206">
                  <c:v>380.78107704201261</c:v>
                </c:pt>
                <c:pt idx="207">
                  <c:v>379.01252971919513</c:v>
                </c:pt>
                <c:pt idx="208">
                  <c:v>377.23661344919924</c:v>
                </c:pt>
                <c:pt idx="209">
                  <c:v>375.45329752807834</c:v>
                </c:pt>
                <c:pt idx="210">
                  <c:v>373.66255112395288</c:v>
                </c:pt>
                <c:pt idx="211">
                  <c:v>371.8643432764768</c:v>
                </c:pt>
                <c:pt idx="212">
                  <c:v>370.0586428963029</c:v>
                </c:pt>
                <c:pt idx="213">
                  <c:v>368.24541876454492</c:v>
                </c:pt>
                <c:pt idx="214">
                  <c:v>366.42463953223796</c:v>
                </c:pt>
                <c:pt idx="215">
                  <c:v>364.59627371979644</c:v>
                </c:pt>
                <c:pt idx="216">
                  <c:v>362.76028971646969</c:v>
                </c:pt>
                <c:pt idx="217">
                  <c:v>360.9166557797958</c:v>
                </c:pt>
                <c:pt idx="218">
                  <c:v>359.06534003505243</c:v>
                </c:pt>
                <c:pt idx="219">
                  <c:v>357.20631047470596</c:v>
                </c:pt>
                <c:pt idx="220">
                  <c:v>355.33953495785795</c:v>
                </c:pt>
                <c:pt idx="221">
                  <c:v>353.46498120968982</c:v>
                </c:pt>
                <c:pt idx="222">
                  <c:v>351.58261682090438</c:v>
                </c:pt>
                <c:pt idx="223">
                  <c:v>349.69240924716559</c:v>
                </c:pt>
                <c:pt idx="224">
                  <c:v>347.79432580853626</c:v>
                </c:pt>
                <c:pt idx="225">
                  <c:v>345.88833368891261</c:v>
                </c:pt>
                <c:pt idx="226">
                  <c:v>343.97439993545714</c:v>
                </c:pt>
                <c:pt idx="227">
                  <c:v>342.05249145802901</c:v>
                </c:pt>
                <c:pt idx="228">
                  <c:v>340.12257502861161</c:v>
                </c:pt>
                <c:pt idx="229">
                  <c:v>338.18461728073822</c:v>
                </c:pt>
                <c:pt idx="230">
                  <c:v>336.23858470891543</c:v>
                </c:pt>
                <c:pt idx="231">
                  <c:v>334.28444366804337</c:v>
                </c:pt>
                <c:pt idx="232">
                  <c:v>332.32216037283433</c:v>
                </c:pt>
                <c:pt idx="233">
                  <c:v>330.35170089722857</c:v>
                </c:pt>
                <c:pt idx="234">
                  <c:v>328.37303117380782</c:v>
                </c:pt>
                <c:pt idx="235">
                  <c:v>326.38611699320614</c:v>
                </c:pt>
                <c:pt idx="236">
                  <c:v>324.39092400351865</c:v>
                </c:pt>
                <c:pt idx="237">
                  <c:v>322.38741770970745</c:v>
                </c:pt>
                <c:pt idx="238">
                  <c:v>320.37556347300534</c:v>
                </c:pt>
                <c:pt idx="239">
                  <c:v>318.35532651031701</c:v>
                </c:pt>
                <c:pt idx="240">
                  <c:v>316.32667189361746</c:v>
                </c:pt>
                <c:pt idx="241">
                  <c:v>314.28956454934831</c:v>
                </c:pt>
                <c:pt idx="242">
                  <c:v>312.24396925781144</c:v>
                </c:pt>
                <c:pt idx="243">
                  <c:v>310.18985065255976</c:v>
                </c:pt>
                <c:pt idx="244">
                  <c:v>308.12717321978624</c:v>
                </c:pt>
                <c:pt idx="245">
                  <c:v>306.05590129770945</c:v>
                </c:pt>
                <c:pt idx="246">
                  <c:v>303.97599907595742</c:v>
                </c:pt>
                <c:pt idx="247">
                  <c:v>301.88743059494806</c:v>
                </c:pt>
                <c:pt idx="248">
                  <c:v>299.79015974526783</c:v>
                </c:pt>
                <c:pt idx="249">
                  <c:v>297.68415026704724</c:v>
                </c:pt>
                <c:pt idx="250">
                  <c:v>295.56936574933405</c:v>
                </c:pt>
                <c:pt idx="251">
                  <c:v>293.44576962946377</c:v>
                </c:pt>
                <c:pt idx="252">
                  <c:v>291.31332519242733</c:v>
                </c:pt>
                <c:pt idx="253">
                  <c:v>289.17199557023656</c:v>
                </c:pt>
                <c:pt idx="254">
                  <c:v>287.02174374128668</c:v>
                </c:pt>
                <c:pt idx="255">
                  <c:v>284.86253252971619</c:v>
                </c:pt>
                <c:pt idx="256">
                  <c:v>282.69432460476418</c:v>
                </c:pt>
                <c:pt idx="257">
                  <c:v>280.51708248012483</c:v>
                </c:pt>
                <c:pt idx="258">
                  <c:v>278.33076851329946</c:v>
                </c:pt>
                <c:pt idx="259">
                  <c:v>276.13534490494567</c:v>
                </c:pt>
                <c:pt idx="260">
                  <c:v>273.93077369822373</c:v>
                </c:pt>
                <c:pt idx="261">
                  <c:v>271.71701677814048</c:v>
                </c:pt>
                <c:pt idx="262">
                  <c:v>269.49403587089017</c:v>
                </c:pt>
                <c:pt idx="263">
                  <c:v>267.26179254319305</c:v>
                </c:pt>
                <c:pt idx="264">
                  <c:v>265.02024820163047</c:v>
                </c:pt>
                <c:pt idx="265">
                  <c:v>262.76936409197805</c:v>
                </c:pt>
                <c:pt idx="266">
                  <c:v>260.50910129853543</c:v>
                </c:pt>
                <c:pt idx="267">
                  <c:v>258.23942074345342</c:v>
                </c:pt>
                <c:pt idx="268">
                  <c:v>255.9602831860586</c:v>
                </c:pt>
                <c:pt idx="269">
                  <c:v>253.67164922217464</c:v>
                </c:pt>
                <c:pt idx="270">
                  <c:v>251.37347928344116</c:v>
                </c:pt>
                <c:pt idx="271">
                  <c:v>249.0657336366296</c:v>
                </c:pt>
                <c:pt idx="272">
                  <c:v>246.74837238295638</c:v>
                </c:pt>
                <c:pt idx="273">
                  <c:v>244.42135545739279</c:v>
                </c:pt>
                <c:pt idx="274">
                  <c:v>242.0846426279727</c:v>
                </c:pt>
                <c:pt idx="275">
                  <c:v>239.73819349509674</c:v>
                </c:pt>
                <c:pt idx="276">
                  <c:v>237.38196749083374</c:v>
                </c:pt>
                <c:pt idx="277">
                  <c:v>235.0159238782197</c:v>
                </c:pt>
                <c:pt idx="278">
                  <c:v>232.64002175055305</c:v>
                </c:pt>
                <c:pt idx="279">
                  <c:v>230.25422003068783</c:v>
                </c:pt>
                <c:pt idx="280">
                  <c:v>227.85847747032312</c:v>
                </c:pt>
                <c:pt idx="281">
                  <c:v>225.45275264929026</c:v>
                </c:pt>
                <c:pt idx="282">
                  <c:v>223.03700397483647</c:v>
                </c:pt>
                <c:pt idx="283">
                  <c:v>220.61118968090571</c:v>
                </c:pt>
                <c:pt idx="284">
                  <c:v>218.17526782741697</c:v>
                </c:pt>
                <c:pt idx="285">
                  <c:v>215.72919629953867</c:v>
                </c:pt>
                <c:pt idx="286">
                  <c:v>213.27293280696085</c:v>
                </c:pt>
                <c:pt idx="287">
                  <c:v>210.806434883164</c:v>
                </c:pt>
                <c:pt idx="288">
                  <c:v>208.32965988468462</c:v>
                </c:pt>
                <c:pt idx="289">
                  <c:v>205.84256499037826</c:v>
                </c:pt>
                <c:pt idx="290">
                  <c:v>203.34510720067897</c:v>
                </c:pt>
                <c:pt idx="291">
                  <c:v>200.83724333685589</c:v>
                </c:pt>
                <c:pt idx="292">
                  <c:v>198.31893004026691</c:v>
                </c:pt>
                <c:pt idx="293">
                  <c:v>195.79012377160882</c:v>
                </c:pt>
                <c:pt idx="294">
                  <c:v>193.25078081016466</c:v>
                </c:pt>
                <c:pt idx="295">
                  <c:v>190.70085725304781</c:v>
                </c:pt>
                <c:pt idx="296">
                  <c:v>188.14030901444298</c:v>
                </c:pt>
                <c:pt idx="297">
                  <c:v>185.56909182484392</c:v>
                </c:pt>
                <c:pt idx="298">
                  <c:v>182.98716123028828</c:v>
                </c:pt>
                <c:pt idx="299">
                  <c:v>180.3944725915886</c:v>
                </c:pt>
                <c:pt idx="300">
                  <c:v>177.79098108356098</c:v>
                </c:pt>
                <c:pt idx="301">
                  <c:v>175.17664169424995</c:v>
                </c:pt>
                <c:pt idx="302">
                  <c:v>172.55140922415012</c:v>
                </c:pt>
                <c:pt idx="303">
                  <c:v>169.91523828542486</c:v>
                </c:pt>
                <c:pt idx="304">
                  <c:v>167.26808330112161</c:v>
                </c:pt>
                <c:pt idx="305">
                  <c:v>164.60989850438372</c:v>
                </c:pt>
                <c:pt idx="306">
                  <c:v>161.94063793765946</c:v>
                </c:pt>
                <c:pt idx="307">
                  <c:v>159.26025545190714</c:v>
                </c:pt>
                <c:pt idx="308">
                  <c:v>156.56870470579756</c:v>
                </c:pt>
                <c:pt idx="309">
                  <c:v>153.8659391649125</c:v>
                </c:pt>
                <c:pt idx="310">
                  <c:v>151.15191210094042</c:v>
                </c:pt>
                <c:pt idx="311">
                  <c:v>148.42657659086845</c:v>
                </c:pt>
                <c:pt idx="312">
                  <c:v>145.68988551617119</c:v>
                </c:pt>
                <c:pt idx="313">
                  <c:v>142.94179156199604</c:v>
                </c:pt>
                <c:pt idx="314">
                  <c:v>140.18224721634516</c:v>
                </c:pt>
                <c:pt idx="315">
                  <c:v>137.41120476925406</c:v>
                </c:pt>
                <c:pt idx="316">
                  <c:v>134.62861631196674</c:v>
                </c:pt>
                <c:pt idx="317">
                  <c:v>131.8344337361074</c:v>
                </c:pt>
                <c:pt idx="318">
                  <c:v>129.02860873284862</c:v>
                </c:pt>
                <c:pt idx="319">
                  <c:v>126.21109279207629</c:v>
                </c:pt>
                <c:pt idx="320">
                  <c:v>123.38183720155075</c:v>
                </c:pt>
                <c:pt idx="321">
                  <c:v>120.54079304606466</c:v>
                </c:pt>
                <c:pt idx="322">
                  <c:v>117.68791120659739</c:v>
                </c:pt>
                <c:pt idx="323">
                  <c:v>114.82314235946569</c:v>
                </c:pt>
                <c:pt idx="324">
                  <c:v>111.94643697547092</c:v>
                </c:pt>
                <c:pt idx="325">
                  <c:v>109.05774531904285</c:v>
                </c:pt>
                <c:pt idx="326">
                  <c:v>106.15701744737964</c:v>
                </c:pt>
                <c:pt idx="327">
                  <c:v>103.24420320958451</c:v>
                </c:pt>
                <c:pt idx="328">
                  <c:v>100.31925224579858</c:v>
                </c:pt>
                <c:pt idx="329">
                  <c:v>97.382113986330197</c:v>
                </c:pt>
                <c:pt idx="330">
                  <c:v>94.43273765078068</c:v>
                </c:pt>
                <c:pt idx="331">
                  <c:v>91.47107224716639</c:v>
                </c:pt>
                <c:pt idx="332">
                  <c:v>88.497066571037053</c:v>
                </c:pt>
                <c:pt idx="333">
                  <c:v>85.510669204590485</c:v>
                </c:pt>
                <c:pt idx="334">
                  <c:v>82.511828515783733</c:v>
                </c:pt>
                <c:pt idx="335">
                  <c:v>79.500492657440304</c:v>
                </c:pt>
                <c:pt idx="336">
                  <c:v>76.476609566353758</c:v>
                </c:pt>
                <c:pt idx="337">
                  <c:v>73.440126962387694</c:v>
                </c:pt>
                <c:pt idx="338">
                  <c:v>70.390992347571782</c:v>
                </c:pt>
                <c:pt idx="339">
                  <c:v>67.329153005194115</c:v>
                </c:pt>
                <c:pt idx="340">
                  <c:v>64.254555998889884</c:v>
                </c:pt>
                <c:pt idx="341">
                  <c:v>61.167148171726048</c:v>
                </c:pt>
                <c:pt idx="342">
                  <c:v>58.066876145282372</c:v>
                </c:pt>
                <c:pt idx="343">
                  <c:v>54.953686318728501</c:v>
                </c:pt>
                <c:pt idx="344">
                  <c:v>51.827524867897331</c:v>
                </c:pt>
                <c:pt idx="345">
                  <c:v>48.688337744354357</c:v>
                </c:pt>
                <c:pt idx="346">
                  <c:v>45.536070674463296</c:v>
                </c:pt>
                <c:pt idx="347">
                  <c:v>42.370669158447676</c:v>
                </c:pt>
                <c:pt idx="348">
                  <c:v>39.192078469448674</c:v>
                </c:pt>
                <c:pt idx="349">
                  <c:v>36.000243652578838</c:v>
                </c:pt>
                <c:pt idx="350">
                  <c:v>32.795109523972044</c:v>
                </c:pt>
                <c:pt idx="351">
                  <c:v>29.576620669829385</c:v>
                </c:pt>
                <c:pt idx="352">
                  <c:v>26.344721445461136</c:v>
                </c:pt>
                <c:pt idx="353">
                  <c:v>23.099355974324681</c:v>
                </c:pt>
                <c:pt idx="354">
                  <c:v>19.840468147058495</c:v>
                </c:pt>
                <c:pt idx="355">
                  <c:v>16.568001620512032</c:v>
                </c:pt>
                <c:pt idx="356">
                  <c:v>13.281899816771622</c:v>
                </c:pt>
                <c:pt idx="357">
                  <c:v>9.9821059221822992</c:v>
                </c:pt>
                <c:pt idx="358">
                  <c:v>6.6685628863655175</c:v>
                </c:pt>
                <c:pt idx="359">
                  <c:v>3.3412134212328333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81-4816-8009-07505957F1E0}"/>
            </c:ext>
          </c:extLst>
        </c:ser>
        <c:ser>
          <c:idx val="1"/>
          <c:order val="1"/>
          <c:tx>
            <c:strRef>
              <c:f>mortgage!$D$11</c:f>
              <c:strCache>
                <c:ptCount val="1"/>
                <c:pt idx="0">
                  <c:v>Principal Paid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mortgage!$D$12:$D$372</c:f>
              <c:numCache>
                <c:formatCode>_(* #,##0.000_);_(* \(#,##0.000\);_(* "-"??_);_(@_)</c:formatCode>
                <c:ptCount val="360"/>
                <c:pt idx="0">
                  <c:v>180.23243451820974</c:v>
                </c:pt>
                <c:pt idx="1">
                  <c:v>180.98340299536881</c:v>
                </c:pt>
                <c:pt idx="2">
                  <c:v>181.73750050784952</c:v>
                </c:pt>
                <c:pt idx="3">
                  <c:v>182.4947400932989</c:v>
                </c:pt>
                <c:pt idx="4">
                  <c:v>183.25513484368776</c:v>
                </c:pt>
                <c:pt idx="5">
                  <c:v>184.01869790553644</c:v>
                </c:pt>
                <c:pt idx="6">
                  <c:v>184.78544248014282</c:v>
                </c:pt>
                <c:pt idx="7">
                  <c:v>185.55538182381008</c:v>
                </c:pt>
                <c:pt idx="8">
                  <c:v>186.32852924807594</c:v>
                </c:pt>
                <c:pt idx="9">
                  <c:v>187.10489811994285</c:v>
                </c:pt>
                <c:pt idx="10">
                  <c:v>187.88450186210935</c:v>
                </c:pt>
                <c:pt idx="11">
                  <c:v>188.66735395320143</c:v>
                </c:pt>
                <c:pt idx="12">
                  <c:v>189.45346792800649</c:v>
                </c:pt>
                <c:pt idx="13">
                  <c:v>190.24285737770651</c:v>
                </c:pt>
                <c:pt idx="14">
                  <c:v>191.03553595011374</c:v>
                </c:pt>
                <c:pt idx="15">
                  <c:v>191.83151734990588</c:v>
                </c:pt>
                <c:pt idx="16">
                  <c:v>192.63081533886384</c:v>
                </c:pt>
                <c:pt idx="17">
                  <c:v>193.4334437361091</c:v>
                </c:pt>
                <c:pt idx="18">
                  <c:v>194.2394164183429</c:v>
                </c:pt>
                <c:pt idx="19">
                  <c:v>195.04874732008602</c:v>
                </c:pt>
                <c:pt idx="20">
                  <c:v>195.86145043391957</c:v>
                </c:pt>
                <c:pt idx="21">
                  <c:v>196.67753981072758</c:v>
                </c:pt>
                <c:pt idx="22">
                  <c:v>197.49702955993894</c:v>
                </c:pt>
                <c:pt idx="23">
                  <c:v>198.31993384977204</c:v>
                </c:pt>
                <c:pt idx="24">
                  <c:v>199.14626690747946</c:v>
                </c:pt>
                <c:pt idx="25">
                  <c:v>199.97604301959393</c:v>
                </c:pt>
                <c:pt idx="26">
                  <c:v>200.80927653217555</c:v>
                </c:pt>
                <c:pt idx="27">
                  <c:v>201.64598185105967</c:v>
                </c:pt>
                <c:pt idx="28">
                  <c:v>202.48617344210572</c:v>
                </c:pt>
                <c:pt idx="29">
                  <c:v>203.32986583144782</c:v>
                </c:pt>
                <c:pt idx="30">
                  <c:v>204.17707360574559</c:v>
                </c:pt>
                <c:pt idx="31">
                  <c:v>205.02781141243611</c:v>
                </c:pt>
                <c:pt idx="32">
                  <c:v>205.88209395998797</c:v>
                </c:pt>
                <c:pt idx="33">
                  <c:v>206.73993601815448</c:v>
                </c:pt>
                <c:pt idx="34">
                  <c:v>207.60135241823014</c:v>
                </c:pt>
                <c:pt idx="35">
                  <c:v>208.46635805330607</c:v>
                </c:pt>
                <c:pt idx="36">
                  <c:v>209.33496787852812</c:v>
                </c:pt>
                <c:pt idx="37">
                  <c:v>210.20719691135537</c:v>
                </c:pt>
                <c:pt idx="38">
                  <c:v>211.08306023181933</c:v>
                </c:pt>
                <c:pt idx="39">
                  <c:v>211.96257298278533</c:v>
                </c:pt>
                <c:pt idx="40">
                  <c:v>212.84575037021364</c:v>
                </c:pt>
                <c:pt idx="41">
                  <c:v>213.73260766342275</c:v>
                </c:pt>
                <c:pt idx="42">
                  <c:v>214.62316019535376</c:v>
                </c:pt>
                <c:pt idx="43">
                  <c:v>215.51742336283451</c:v>
                </c:pt>
                <c:pt idx="44">
                  <c:v>216.41541262684621</c:v>
                </c:pt>
                <c:pt idx="45">
                  <c:v>217.31714351279129</c:v>
                </c:pt>
                <c:pt idx="46">
                  <c:v>218.22263161076137</c:v>
                </c:pt>
                <c:pt idx="47">
                  <c:v>219.13189257580621</c:v>
                </c:pt>
                <c:pt idx="48">
                  <c:v>220.04494212820532</c:v>
                </c:pt>
                <c:pt idx="49">
                  <c:v>220.96179605373959</c:v>
                </c:pt>
                <c:pt idx="50">
                  <c:v>221.88247020396352</c:v>
                </c:pt>
                <c:pt idx="51">
                  <c:v>222.80698049648004</c:v>
                </c:pt>
                <c:pt idx="52">
                  <c:v>223.73534291521537</c:v>
                </c:pt>
                <c:pt idx="53">
                  <c:v>224.66757351069543</c:v>
                </c:pt>
                <c:pt idx="54">
                  <c:v>225.60368840032334</c:v>
                </c:pt>
                <c:pt idx="55">
                  <c:v>226.54370376865802</c:v>
                </c:pt>
                <c:pt idx="56">
                  <c:v>227.48763586769417</c:v>
                </c:pt>
                <c:pt idx="57">
                  <c:v>228.43550101714288</c:v>
                </c:pt>
                <c:pt idx="58">
                  <c:v>229.38731560471433</c:v>
                </c:pt>
                <c:pt idx="59">
                  <c:v>230.34309608640069</c:v>
                </c:pt>
                <c:pt idx="60">
                  <c:v>231.30285898676061</c:v>
                </c:pt>
                <c:pt idx="61">
                  <c:v>232.26662089920546</c:v>
                </c:pt>
                <c:pt idx="62">
                  <c:v>233.2343984862855</c:v>
                </c:pt>
                <c:pt idx="63">
                  <c:v>234.20620847997839</c:v>
                </c:pt>
                <c:pt idx="64">
                  <c:v>235.1820676819782</c:v>
                </c:pt>
                <c:pt idx="65">
                  <c:v>236.16199296398645</c:v>
                </c:pt>
                <c:pt idx="66">
                  <c:v>237.14600126800315</c:v>
                </c:pt>
                <c:pt idx="67">
                  <c:v>238.13410960661975</c:v>
                </c:pt>
                <c:pt idx="68">
                  <c:v>239.12633506331395</c:v>
                </c:pt>
                <c:pt idx="69">
                  <c:v>240.12269479274448</c:v>
                </c:pt>
                <c:pt idx="70">
                  <c:v>241.12320602104751</c:v>
                </c:pt>
                <c:pt idx="71">
                  <c:v>242.12788604613536</c:v>
                </c:pt>
                <c:pt idx="72">
                  <c:v>243.13675223799419</c:v>
                </c:pt>
                <c:pt idx="73">
                  <c:v>244.14982203898592</c:v>
                </c:pt>
                <c:pt idx="74">
                  <c:v>245.16711296414826</c:v>
                </c:pt>
                <c:pt idx="75">
                  <c:v>246.18864260149894</c:v>
                </c:pt>
                <c:pt idx="76">
                  <c:v>247.21442861233857</c:v>
                </c:pt>
                <c:pt idx="77">
                  <c:v>248.24448873155666</c:v>
                </c:pt>
                <c:pt idx="78">
                  <c:v>249.27884076793816</c:v>
                </c:pt>
                <c:pt idx="79">
                  <c:v>250.3175026044712</c:v>
                </c:pt>
                <c:pt idx="80">
                  <c:v>251.36049219865663</c:v>
                </c:pt>
                <c:pt idx="81">
                  <c:v>252.40782758281762</c:v>
                </c:pt>
                <c:pt idx="82">
                  <c:v>253.45952686441274</c:v>
                </c:pt>
                <c:pt idx="83">
                  <c:v>254.51560822634781</c:v>
                </c:pt>
                <c:pt idx="84">
                  <c:v>255.57608992729092</c:v>
                </c:pt>
                <c:pt idx="85">
                  <c:v>256.64099030198804</c:v>
                </c:pt>
                <c:pt idx="86">
                  <c:v>257.71032776157961</c:v>
                </c:pt>
                <c:pt idx="87">
                  <c:v>258.78412079391956</c:v>
                </c:pt>
                <c:pt idx="88">
                  <c:v>259.86238796389421</c:v>
                </c:pt>
                <c:pt idx="89">
                  <c:v>260.94514791374377</c:v>
                </c:pt>
                <c:pt idx="90">
                  <c:v>262.03241936338429</c:v>
                </c:pt>
                <c:pt idx="91">
                  <c:v>263.1242211107317</c:v>
                </c:pt>
                <c:pt idx="92">
                  <c:v>264.22057203202644</c:v>
                </c:pt>
                <c:pt idx="93">
                  <c:v>265.32149108215992</c:v>
                </c:pt>
                <c:pt idx="94">
                  <c:v>266.42699729500214</c:v>
                </c:pt>
                <c:pt idx="95">
                  <c:v>267.53710978373135</c:v>
                </c:pt>
                <c:pt idx="96">
                  <c:v>268.65184774116358</c:v>
                </c:pt>
                <c:pt idx="97">
                  <c:v>269.77123044008511</c:v>
                </c:pt>
                <c:pt idx="98">
                  <c:v>270.89527723358549</c:v>
                </c:pt>
                <c:pt idx="99">
                  <c:v>272.02400755539213</c:v>
                </c:pt>
                <c:pt idx="100">
                  <c:v>273.15744092020623</c:v>
                </c:pt>
                <c:pt idx="101">
                  <c:v>274.29559692404041</c:v>
                </c:pt>
                <c:pt idx="102">
                  <c:v>275.4384952445572</c:v>
                </c:pt>
                <c:pt idx="103">
                  <c:v>276.5861556414095</c:v>
                </c:pt>
                <c:pt idx="104">
                  <c:v>277.73859795658211</c:v>
                </c:pt>
                <c:pt idx="105">
                  <c:v>278.89584211473459</c:v>
                </c:pt>
                <c:pt idx="106">
                  <c:v>280.05790812354599</c:v>
                </c:pt>
                <c:pt idx="107">
                  <c:v>281.22481607406075</c:v>
                </c:pt>
                <c:pt idx="108">
                  <c:v>282.39658614103598</c:v>
                </c:pt>
                <c:pt idx="109">
                  <c:v>283.57323858329028</c:v>
                </c:pt>
                <c:pt idx="110">
                  <c:v>284.75479374405404</c:v>
                </c:pt>
                <c:pt idx="111">
                  <c:v>285.94127205132099</c:v>
                </c:pt>
                <c:pt idx="112">
                  <c:v>287.13269401820139</c:v>
                </c:pt>
                <c:pt idx="113">
                  <c:v>288.3290802432773</c:v>
                </c:pt>
                <c:pt idx="114">
                  <c:v>289.53045141095765</c:v>
                </c:pt>
                <c:pt idx="115">
                  <c:v>290.73682829183667</c:v>
                </c:pt>
                <c:pt idx="116">
                  <c:v>291.94823174305259</c:v>
                </c:pt>
                <c:pt idx="117">
                  <c:v>293.16468270864857</c:v>
                </c:pt>
                <c:pt idx="118">
                  <c:v>294.38620221993472</c:v>
                </c:pt>
                <c:pt idx="119">
                  <c:v>295.61281139585105</c:v>
                </c:pt>
                <c:pt idx="120">
                  <c:v>296.84453144333378</c:v>
                </c:pt>
                <c:pt idx="121">
                  <c:v>298.08138365768099</c:v>
                </c:pt>
                <c:pt idx="122">
                  <c:v>299.32338942292137</c:v>
                </c:pt>
                <c:pt idx="123">
                  <c:v>300.57057021218355</c:v>
                </c:pt>
                <c:pt idx="124">
                  <c:v>301.82294758806762</c:v>
                </c:pt>
                <c:pt idx="125">
                  <c:v>303.08054320301784</c:v>
                </c:pt>
                <c:pt idx="126">
                  <c:v>304.34337879969718</c:v>
                </c:pt>
                <c:pt idx="127">
                  <c:v>305.61147621136246</c:v>
                </c:pt>
                <c:pt idx="128">
                  <c:v>306.88485736224317</c:v>
                </c:pt>
                <c:pt idx="129">
                  <c:v>308.16354426791912</c:v>
                </c:pt>
                <c:pt idx="130">
                  <c:v>309.44755903570223</c:v>
                </c:pt>
                <c:pt idx="131">
                  <c:v>310.73692386501756</c:v>
                </c:pt>
                <c:pt idx="132">
                  <c:v>312.03166104778853</c:v>
                </c:pt>
                <c:pt idx="133">
                  <c:v>313.33179296882093</c:v>
                </c:pt>
                <c:pt idx="134">
                  <c:v>314.63734210619106</c:v>
                </c:pt>
                <c:pt idx="135">
                  <c:v>315.94833103163347</c:v>
                </c:pt>
                <c:pt idx="136">
                  <c:v>317.2647824109319</c:v>
                </c:pt>
                <c:pt idx="137">
                  <c:v>318.58671900431079</c:v>
                </c:pt>
                <c:pt idx="138">
                  <c:v>319.91416366682876</c:v>
                </c:pt>
                <c:pt idx="139">
                  <c:v>321.24713934877389</c:v>
                </c:pt>
                <c:pt idx="140">
                  <c:v>322.58566909606049</c:v>
                </c:pt>
                <c:pt idx="141">
                  <c:v>323.92977605062737</c:v>
                </c:pt>
                <c:pt idx="142">
                  <c:v>325.27948345083843</c:v>
                </c:pt>
                <c:pt idx="143">
                  <c:v>326.63481463188356</c:v>
                </c:pt>
                <c:pt idx="144">
                  <c:v>327.99579302618298</c:v>
                </c:pt>
                <c:pt idx="145">
                  <c:v>329.3624421637922</c:v>
                </c:pt>
                <c:pt idx="146">
                  <c:v>330.73478567280796</c:v>
                </c:pt>
                <c:pt idx="147">
                  <c:v>332.11284727977801</c:v>
                </c:pt>
                <c:pt idx="148">
                  <c:v>333.49665081011034</c:v>
                </c:pt>
                <c:pt idx="149">
                  <c:v>334.88622018848577</c:v>
                </c:pt>
                <c:pt idx="150">
                  <c:v>336.28157943927118</c:v>
                </c:pt>
                <c:pt idx="151">
                  <c:v>337.6827526869348</c:v>
                </c:pt>
                <c:pt idx="152">
                  <c:v>339.08976415646367</c:v>
                </c:pt>
                <c:pt idx="153">
                  <c:v>340.50263817378226</c:v>
                </c:pt>
                <c:pt idx="154">
                  <c:v>341.92139916617305</c:v>
                </c:pt>
                <c:pt idx="155">
                  <c:v>343.34607166269876</c:v>
                </c:pt>
                <c:pt idx="156">
                  <c:v>344.7766802946266</c:v>
                </c:pt>
                <c:pt idx="157">
                  <c:v>346.21324979585427</c:v>
                </c:pt>
                <c:pt idx="158">
                  <c:v>347.65580500333698</c:v>
                </c:pt>
                <c:pt idx="159">
                  <c:v>349.10437085751749</c:v>
                </c:pt>
                <c:pt idx="160">
                  <c:v>350.55897240275721</c:v>
                </c:pt>
                <c:pt idx="161">
                  <c:v>352.01963478776867</c:v>
                </c:pt>
                <c:pt idx="162">
                  <c:v>353.48638326605106</c:v>
                </c:pt>
                <c:pt idx="163">
                  <c:v>354.95924319632621</c:v>
                </c:pt>
                <c:pt idx="164">
                  <c:v>356.43824004297755</c:v>
                </c:pt>
                <c:pt idx="165">
                  <c:v>357.92339937648995</c:v>
                </c:pt>
                <c:pt idx="166">
                  <c:v>359.41474687389206</c:v>
                </c:pt>
                <c:pt idx="167">
                  <c:v>360.91230831919995</c:v>
                </c:pt>
                <c:pt idx="168">
                  <c:v>362.41610960386322</c:v>
                </c:pt>
                <c:pt idx="169">
                  <c:v>363.92617672721263</c:v>
                </c:pt>
                <c:pt idx="170">
                  <c:v>365.44253579690934</c:v>
                </c:pt>
                <c:pt idx="171">
                  <c:v>366.96521302939652</c:v>
                </c:pt>
                <c:pt idx="172">
                  <c:v>368.49423475035235</c:v>
                </c:pt>
                <c:pt idx="173">
                  <c:v>370.02962739514544</c:v>
                </c:pt>
                <c:pt idx="174">
                  <c:v>371.57141750929185</c:v>
                </c:pt>
                <c:pt idx="175">
                  <c:v>373.11963174891395</c:v>
                </c:pt>
                <c:pt idx="176">
                  <c:v>374.67429688120103</c:v>
                </c:pt>
                <c:pt idx="177">
                  <c:v>376.23543978487271</c:v>
                </c:pt>
                <c:pt idx="178">
                  <c:v>377.80308745064298</c:v>
                </c:pt>
                <c:pt idx="179">
                  <c:v>379.37726698168728</c:v>
                </c:pt>
                <c:pt idx="180">
                  <c:v>380.95800559411094</c:v>
                </c:pt>
                <c:pt idx="181">
                  <c:v>382.54533061741978</c:v>
                </c:pt>
                <c:pt idx="182">
                  <c:v>384.13926949499233</c:v>
                </c:pt>
                <c:pt idx="183">
                  <c:v>385.73984978455479</c:v>
                </c:pt>
                <c:pt idx="184">
                  <c:v>387.34709915865716</c:v>
                </c:pt>
                <c:pt idx="185">
                  <c:v>388.96104540515154</c:v>
                </c:pt>
                <c:pt idx="186">
                  <c:v>390.58171642767303</c:v>
                </c:pt>
                <c:pt idx="187">
                  <c:v>392.20914024612159</c:v>
                </c:pt>
                <c:pt idx="188">
                  <c:v>393.84334499714708</c:v>
                </c:pt>
                <c:pt idx="189">
                  <c:v>395.48435893463522</c:v>
                </c:pt>
                <c:pt idx="190">
                  <c:v>397.13221043019627</c:v>
                </c:pt>
                <c:pt idx="191">
                  <c:v>398.78692797365539</c:v>
                </c:pt>
                <c:pt idx="192">
                  <c:v>400.44854017354567</c:v>
                </c:pt>
                <c:pt idx="193">
                  <c:v>402.11707575760209</c:v>
                </c:pt>
                <c:pt idx="194">
                  <c:v>403.79256357325875</c:v>
                </c:pt>
                <c:pt idx="195">
                  <c:v>405.47503258814737</c:v>
                </c:pt>
                <c:pt idx="196">
                  <c:v>407.16451189059796</c:v>
                </c:pt>
                <c:pt idx="197">
                  <c:v>408.86103069014206</c:v>
                </c:pt>
                <c:pt idx="198">
                  <c:v>410.56461831801772</c:v>
                </c:pt>
                <c:pt idx="199">
                  <c:v>412.27530422767614</c:v>
                </c:pt>
                <c:pt idx="200">
                  <c:v>413.99311799529147</c:v>
                </c:pt>
                <c:pt idx="201">
                  <c:v>415.71808932027182</c:v>
                </c:pt>
                <c:pt idx="202">
                  <c:v>417.45024802577296</c:v>
                </c:pt>
                <c:pt idx="203">
                  <c:v>419.18962405921371</c:v>
                </c:pt>
                <c:pt idx="204">
                  <c:v>420.93624749279377</c:v>
                </c:pt>
                <c:pt idx="205">
                  <c:v>422.69014852401375</c:v>
                </c:pt>
                <c:pt idx="206">
                  <c:v>424.45135747619713</c:v>
                </c:pt>
                <c:pt idx="207">
                  <c:v>426.21990479901461</c:v>
                </c:pt>
                <c:pt idx="208">
                  <c:v>427.9958210690105</c:v>
                </c:pt>
                <c:pt idx="209">
                  <c:v>429.77913699013141</c:v>
                </c:pt>
                <c:pt idx="210">
                  <c:v>431.56988339425686</c:v>
                </c:pt>
                <c:pt idx="211">
                  <c:v>433.36809124173294</c:v>
                </c:pt>
                <c:pt idx="212">
                  <c:v>435.17379162190684</c:v>
                </c:pt>
                <c:pt idx="213">
                  <c:v>436.98701575366482</c:v>
                </c:pt>
                <c:pt idx="214">
                  <c:v>438.80779498597178</c:v>
                </c:pt>
                <c:pt idx="215">
                  <c:v>440.6361607984133</c:v>
                </c:pt>
                <c:pt idx="216">
                  <c:v>442.47214480174006</c:v>
                </c:pt>
                <c:pt idx="217">
                  <c:v>444.31577873841394</c:v>
                </c:pt>
                <c:pt idx="218">
                  <c:v>446.16709448315731</c:v>
                </c:pt>
                <c:pt idx="219">
                  <c:v>448.02612404350378</c:v>
                </c:pt>
                <c:pt idx="220">
                  <c:v>449.89289956035179</c:v>
                </c:pt>
                <c:pt idx="221">
                  <c:v>451.76745330851992</c:v>
                </c:pt>
                <c:pt idx="222">
                  <c:v>453.64981769730537</c:v>
                </c:pt>
                <c:pt idx="223">
                  <c:v>455.54002527104416</c:v>
                </c:pt>
                <c:pt idx="224">
                  <c:v>457.43810870967349</c:v>
                </c:pt>
                <c:pt idx="225">
                  <c:v>459.34410082929713</c:v>
                </c:pt>
                <c:pt idx="226">
                  <c:v>461.2580345827526</c:v>
                </c:pt>
                <c:pt idx="227">
                  <c:v>463.17994306018073</c:v>
                </c:pt>
                <c:pt idx="228">
                  <c:v>465.10985948959814</c:v>
                </c:pt>
                <c:pt idx="229">
                  <c:v>467.04781723747152</c:v>
                </c:pt>
                <c:pt idx="230">
                  <c:v>468.99384980929432</c:v>
                </c:pt>
                <c:pt idx="231">
                  <c:v>470.94799085016638</c:v>
                </c:pt>
                <c:pt idx="232">
                  <c:v>472.91027414537541</c:v>
                </c:pt>
                <c:pt idx="233">
                  <c:v>474.88073362098118</c:v>
                </c:pt>
                <c:pt idx="234">
                  <c:v>476.85940334440193</c:v>
                </c:pt>
                <c:pt idx="235">
                  <c:v>478.8463175250036</c:v>
                </c:pt>
                <c:pt idx="236">
                  <c:v>480.84151051469109</c:v>
                </c:pt>
                <c:pt idx="237">
                  <c:v>482.84501680850229</c:v>
                </c:pt>
                <c:pt idx="238">
                  <c:v>484.8568710452044</c:v>
                </c:pt>
                <c:pt idx="239">
                  <c:v>486.87710800789273</c:v>
                </c:pt>
                <c:pt idx="240">
                  <c:v>488.90576262459228</c:v>
                </c:pt>
                <c:pt idx="241">
                  <c:v>490.94286996886143</c:v>
                </c:pt>
                <c:pt idx="242">
                  <c:v>492.9884652603983</c:v>
                </c:pt>
                <c:pt idx="243">
                  <c:v>495.04258386564999</c:v>
                </c:pt>
                <c:pt idx="244">
                  <c:v>497.1052612984235</c:v>
                </c:pt>
                <c:pt idx="245">
                  <c:v>499.17653322050029</c:v>
                </c:pt>
                <c:pt idx="246">
                  <c:v>501.25643544225233</c:v>
                </c:pt>
                <c:pt idx="247">
                  <c:v>503.34500392326169</c:v>
                </c:pt>
                <c:pt idx="248">
                  <c:v>505.44227477294191</c:v>
                </c:pt>
                <c:pt idx="249">
                  <c:v>507.5482842511625</c:v>
                </c:pt>
                <c:pt idx="250">
                  <c:v>509.66306876887569</c:v>
                </c:pt>
                <c:pt idx="251">
                  <c:v>511.78666488874597</c:v>
                </c:pt>
                <c:pt idx="252">
                  <c:v>513.91910932578241</c:v>
                </c:pt>
                <c:pt idx="253">
                  <c:v>516.06043894797313</c:v>
                </c:pt>
                <c:pt idx="254">
                  <c:v>518.210690776923</c:v>
                </c:pt>
                <c:pt idx="255">
                  <c:v>520.36990198849355</c:v>
                </c:pt>
                <c:pt idx="256">
                  <c:v>522.53810991344562</c:v>
                </c:pt>
                <c:pt idx="257">
                  <c:v>524.71535203808492</c:v>
                </c:pt>
                <c:pt idx="258">
                  <c:v>526.90166600491034</c:v>
                </c:pt>
                <c:pt idx="259">
                  <c:v>529.09708961326407</c:v>
                </c:pt>
                <c:pt idx="260">
                  <c:v>531.30166081998595</c:v>
                </c:pt>
                <c:pt idx="261">
                  <c:v>533.51541774006932</c:v>
                </c:pt>
                <c:pt idx="262">
                  <c:v>535.73839864731963</c:v>
                </c:pt>
                <c:pt idx="263">
                  <c:v>537.97064197501663</c:v>
                </c:pt>
                <c:pt idx="264">
                  <c:v>540.21218631657928</c:v>
                </c:pt>
                <c:pt idx="265">
                  <c:v>542.46307042623175</c:v>
                </c:pt>
                <c:pt idx="266">
                  <c:v>544.72333321967426</c:v>
                </c:pt>
                <c:pt idx="267">
                  <c:v>546.99301377475626</c:v>
                </c:pt>
                <c:pt idx="268">
                  <c:v>549.27215133215111</c:v>
                </c:pt>
                <c:pt idx="269">
                  <c:v>551.56078529603508</c:v>
                </c:pt>
                <c:pt idx="270">
                  <c:v>553.85895523476859</c:v>
                </c:pt>
                <c:pt idx="271">
                  <c:v>556.16670088158014</c:v>
                </c:pt>
                <c:pt idx="272">
                  <c:v>558.48406213525334</c:v>
                </c:pt>
                <c:pt idx="273">
                  <c:v>560.81107906081695</c:v>
                </c:pt>
                <c:pt idx="274">
                  <c:v>563.14779189023704</c:v>
                </c:pt>
                <c:pt idx="275">
                  <c:v>565.49424102311298</c:v>
                </c:pt>
                <c:pt idx="276">
                  <c:v>567.850467027376</c:v>
                </c:pt>
                <c:pt idx="277">
                  <c:v>570.21651063999002</c:v>
                </c:pt>
                <c:pt idx="278">
                  <c:v>572.5924127676567</c:v>
                </c:pt>
                <c:pt idx="279">
                  <c:v>574.97821448752188</c:v>
                </c:pt>
                <c:pt idx="280">
                  <c:v>577.37395704788662</c:v>
                </c:pt>
                <c:pt idx="281">
                  <c:v>579.77968186891951</c:v>
                </c:pt>
                <c:pt idx="282">
                  <c:v>582.19543054337328</c:v>
                </c:pt>
                <c:pt idx="283">
                  <c:v>584.62124483730406</c:v>
                </c:pt>
                <c:pt idx="284">
                  <c:v>587.05716669079277</c:v>
                </c:pt>
                <c:pt idx="285">
                  <c:v>589.50323821867107</c:v>
                </c:pt>
                <c:pt idx="286">
                  <c:v>591.95950171124889</c:v>
                </c:pt>
                <c:pt idx="287">
                  <c:v>594.42599963504574</c:v>
                </c:pt>
                <c:pt idx="288">
                  <c:v>596.90277463352515</c:v>
                </c:pt>
                <c:pt idx="289">
                  <c:v>599.38986952783148</c:v>
                </c:pt>
                <c:pt idx="290">
                  <c:v>601.88732731753078</c:v>
                </c:pt>
                <c:pt idx="291">
                  <c:v>604.39519118135388</c:v>
                </c:pt>
                <c:pt idx="292">
                  <c:v>606.91350447794287</c:v>
                </c:pt>
                <c:pt idx="293">
                  <c:v>609.44231074660092</c:v>
                </c:pt>
                <c:pt idx="294">
                  <c:v>611.98165370804509</c:v>
                </c:pt>
                <c:pt idx="295">
                  <c:v>614.5315772651619</c:v>
                </c:pt>
                <c:pt idx="296">
                  <c:v>617.09212550376674</c:v>
                </c:pt>
                <c:pt idx="297">
                  <c:v>619.66334269336585</c:v>
                </c:pt>
                <c:pt idx="298">
                  <c:v>622.24527328792146</c:v>
                </c:pt>
                <c:pt idx="299">
                  <c:v>624.83796192662112</c:v>
                </c:pt>
                <c:pt idx="300">
                  <c:v>627.44145343464879</c:v>
                </c:pt>
                <c:pt idx="301">
                  <c:v>630.05579282395979</c:v>
                </c:pt>
                <c:pt idx="302">
                  <c:v>632.68102529405962</c:v>
                </c:pt>
                <c:pt idx="303">
                  <c:v>635.31719623278491</c:v>
                </c:pt>
                <c:pt idx="304">
                  <c:v>637.96435121708816</c:v>
                </c:pt>
                <c:pt idx="305">
                  <c:v>640.62253601382599</c:v>
                </c:pt>
                <c:pt idx="306">
                  <c:v>643.29179658055023</c:v>
                </c:pt>
                <c:pt idx="307">
                  <c:v>645.9721790663026</c:v>
                </c:pt>
                <c:pt idx="308">
                  <c:v>648.66372981241216</c:v>
                </c:pt>
                <c:pt idx="309">
                  <c:v>651.3664953532973</c:v>
                </c:pt>
                <c:pt idx="310">
                  <c:v>654.08052241726932</c:v>
                </c:pt>
                <c:pt idx="311">
                  <c:v>656.80585792734132</c:v>
                </c:pt>
                <c:pt idx="312">
                  <c:v>659.54254900203853</c:v>
                </c:pt>
                <c:pt idx="313">
                  <c:v>662.29064295621367</c:v>
                </c:pt>
                <c:pt idx="314">
                  <c:v>665.05018730186453</c:v>
                </c:pt>
                <c:pt idx="315">
                  <c:v>667.82122974895572</c:v>
                </c:pt>
                <c:pt idx="316">
                  <c:v>670.60381820624298</c:v>
                </c:pt>
                <c:pt idx="317">
                  <c:v>673.39800078210237</c:v>
                </c:pt>
                <c:pt idx="318">
                  <c:v>676.20382578536112</c:v>
                </c:pt>
                <c:pt idx="319">
                  <c:v>679.02134172613341</c:v>
                </c:pt>
                <c:pt idx="320">
                  <c:v>681.85059731665899</c:v>
                </c:pt>
                <c:pt idx="321">
                  <c:v>684.69164147214508</c:v>
                </c:pt>
                <c:pt idx="322">
                  <c:v>687.54452331161235</c:v>
                </c:pt>
                <c:pt idx="323">
                  <c:v>690.40929215874405</c:v>
                </c:pt>
                <c:pt idx="324">
                  <c:v>693.28599754273887</c:v>
                </c:pt>
                <c:pt idx="325">
                  <c:v>696.17468919916689</c:v>
                </c:pt>
                <c:pt idx="326">
                  <c:v>699.0754170708301</c:v>
                </c:pt>
                <c:pt idx="327">
                  <c:v>701.98823130862525</c:v>
                </c:pt>
                <c:pt idx="328">
                  <c:v>704.91318227241118</c:v>
                </c:pt>
                <c:pt idx="329">
                  <c:v>707.85032053187956</c:v>
                </c:pt>
                <c:pt idx="330">
                  <c:v>710.79969686742902</c:v>
                </c:pt>
                <c:pt idx="331">
                  <c:v>713.76136227104337</c:v>
                </c:pt>
                <c:pt idx="332">
                  <c:v>716.73536794717268</c:v>
                </c:pt>
                <c:pt idx="333">
                  <c:v>719.72176531361924</c:v>
                </c:pt>
                <c:pt idx="334">
                  <c:v>722.72060600242605</c:v>
                </c:pt>
                <c:pt idx="335">
                  <c:v>725.73194186076944</c:v>
                </c:pt>
                <c:pt idx="336">
                  <c:v>728.75582495185597</c:v>
                </c:pt>
                <c:pt idx="337">
                  <c:v>731.79230755582205</c:v>
                </c:pt>
                <c:pt idx="338">
                  <c:v>734.84144217063795</c:v>
                </c:pt>
                <c:pt idx="339">
                  <c:v>737.9032815130156</c:v>
                </c:pt>
                <c:pt idx="340">
                  <c:v>740.9778785193198</c:v>
                </c:pt>
                <c:pt idx="341">
                  <c:v>744.06528634648373</c:v>
                </c:pt>
                <c:pt idx="342">
                  <c:v>747.16555837292742</c:v>
                </c:pt>
                <c:pt idx="343">
                  <c:v>750.27874819948124</c:v>
                </c:pt>
                <c:pt idx="344">
                  <c:v>753.40490965031245</c:v>
                </c:pt>
                <c:pt idx="345">
                  <c:v>756.54409677385536</c:v>
                </c:pt>
                <c:pt idx="346">
                  <c:v>759.69636384374644</c:v>
                </c:pt>
                <c:pt idx="347">
                  <c:v>762.8617653597621</c:v>
                </c:pt>
                <c:pt idx="348">
                  <c:v>766.04035604876105</c:v>
                </c:pt>
                <c:pt idx="349">
                  <c:v>769.23219086563086</c:v>
                </c:pt>
                <c:pt idx="350">
                  <c:v>772.43732499423766</c:v>
                </c:pt>
                <c:pt idx="351">
                  <c:v>775.65581384838038</c:v>
                </c:pt>
                <c:pt idx="352">
                  <c:v>778.88771307274862</c:v>
                </c:pt>
                <c:pt idx="353">
                  <c:v>782.13307854388506</c:v>
                </c:pt>
                <c:pt idx="354">
                  <c:v>785.39196637115128</c:v>
                </c:pt>
                <c:pt idx="355">
                  <c:v>788.66443289769768</c:v>
                </c:pt>
                <c:pt idx="356">
                  <c:v>791.95053470143807</c:v>
                </c:pt>
                <c:pt idx="357">
                  <c:v>795.25032859602743</c:v>
                </c:pt>
                <c:pt idx="358">
                  <c:v>798.56387163184422</c:v>
                </c:pt>
                <c:pt idx="359">
                  <c:v>801.89122109697689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81-4816-8009-07505957F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6813967"/>
        <c:axId val="2037065439"/>
      </c:lineChart>
      <c:catAx>
        <c:axId val="18768139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065439"/>
        <c:crosses val="autoZero"/>
        <c:auto val="1"/>
        <c:lblAlgn val="ctr"/>
        <c:lblOffset val="100"/>
        <c:noMultiLvlLbl val="0"/>
      </c:catAx>
      <c:valAx>
        <c:axId val="203706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81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Graph(a)</a:t>
            </a:r>
            <a:r>
              <a:rPr lang="en-US" baseline="0"/>
              <a:t> </a:t>
            </a:r>
            <a:r>
              <a:rPr lang="en-US"/>
              <a:t>Balck Call(1976)</a:t>
            </a:r>
            <a:r>
              <a:rPr lang="en-US" baseline="0"/>
              <a:t> vs Futures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'Black(1976)'!$F$7:$F$28</c:f>
              <c:numCache>
                <c:formatCode>General</c:formatCode>
                <c:ptCount val="22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</c:numCache>
            </c:numRef>
          </c:xVal>
          <c:yVal>
            <c:numRef>
              <c:f>'Black(1976)'!$G$7:$G$28</c:f>
              <c:numCache>
                <c:formatCode>General</c:formatCode>
                <c:ptCount val="22"/>
                <c:pt idx="0">
                  <c:v>1.674580638882731E-32</c:v>
                </c:pt>
                <c:pt idx="1">
                  <c:v>5.7091065637182391E-17</c:v>
                </c:pt>
                <c:pt idx="2">
                  <c:v>3.0417399228089097E-10</c:v>
                </c:pt>
                <c:pt idx="3">
                  <c:v>1.6493262254691141E-6</c:v>
                </c:pt>
                <c:pt idx="4">
                  <c:v>3.4165197947325782E-4</c:v>
                </c:pt>
                <c:pt idx="5">
                  <c:v>1.1517735817836633E-2</c:v>
                </c:pt>
                <c:pt idx="6">
                  <c:v>0.12816173370731176</c:v>
                </c:pt>
                <c:pt idx="7">
                  <c:v>0.69586785874988699</c:v>
                </c:pt>
                <c:pt idx="8">
                  <c:v>2.3332049879610253</c:v>
                </c:pt>
                <c:pt idx="9">
                  <c:v>5.6175742792829126</c:v>
                </c:pt>
                <c:pt idx="10">
                  <c:v>10.742012793561727</c:v>
                </c:pt>
                <c:pt idx="11">
                  <c:v>17.481318763472828</c:v>
                </c:pt>
                <c:pt idx="12">
                  <c:v>25.400098820801489</c:v>
                </c:pt>
                <c:pt idx="13">
                  <c:v>34.067007366837899</c:v>
                </c:pt>
                <c:pt idx="14">
                  <c:v>43.159338254183027</c:v>
                </c:pt>
                <c:pt idx="15">
                  <c:v>52.473841653137939</c:v>
                </c:pt>
                <c:pt idx="16">
                  <c:v>61.896891898532417</c:v>
                </c:pt>
                <c:pt idx="17">
                  <c:v>71.370272755178362</c:v>
                </c:pt>
                <c:pt idx="18">
                  <c:v>80.866052205714539</c:v>
                </c:pt>
                <c:pt idx="19">
                  <c:v>90.37148436583098</c:v>
                </c:pt>
                <c:pt idx="20">
                  <c:v>99.880973510116675</c:v>
                </c:pt>
                <c:pt idx="21">
                  <c:v>109.39213514626395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B0-4983-AA9E-1B3D2790A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213776"/>
        <c:axId val="770215216"/>
      </c:scatterChart>
      <c:valAx>
        <c:axId val="77021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215216"/>
        <c:crosses val="autoZero"/>
        <c:crossBetween val="midCat"/>
      </c:valAx>
      <c:valAx>
        <c:axId val="7702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21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 (c) Balck Call(1976) vs Future</a:t>
            </a:r>
            <a:r>
              <a:rPr lang="en-US" baseline="0"/>
              <a:t> Bond Vs Sigma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'Black(1976)'!$J$45:$J$66</c:f>
              <c:numCache>
                <c:formatCode>0.00000</c:formatCode>
                <c:ptCount val="22"/>
                <c:pt idx="0">
                  <c:v>2.8720593223545507E-128</c:v>
                </c:pt>
                <c:pt idx="1">
                  <c:v>4.5061726566384567E-66</c:v>
                </c:pt>
                <c:pt idx="2">
                  <c:v>2.6534824447908352E-39</c:v>
                </c:pt>
                <c:pt idx="3">
                  <c:v>1.3641620058859081E-24</c:v>
                </c:pt>
                <c:pt idx="4">
                  <c:v>1.3013889529534217E-15</c:v>
                </c:pt>
                <c:pt idx="5">
                  <c:v>7.7807204867162343E-10</c:v>
                </c:pt>
                <c:pt idx="6">
                  <c:v>4.9949500391959943E-6</c:v>
                </c:pt>
                <c:pt idx="7">
                  <c:v>1.663222562493738E-3</c:v>
                </c:pt>
                <c:pt idx="8">
                  <c:v>7.5005299743335696E-2</c:v>
                </c:pt>
                <c:pt idx="9">
                  <c:v>0.86316729499023026</c:v>
                </c:pt>
                <c:pt idx="10">
                  <c:v>3.9691030705729275</c:v>
                </c:pt>
                <c:pt idx="11">
                  <c:v>10.150032160218416</c:v>
                </c:pt>
                <c:pt idx="12">
                  <c:v>18.309083571506918</c:v>
                </c:pt>
                <c:pt idx="13">
                  <c:v>27.174586466315233</c:v>
                </c:pt>
                <c:pt idx="14">
                  <c:v>36.196582176050484</c:v>
                </c:pt>
                <c:pt idx="15">
                  <c:v>45.242126342549923</c:v>
                </c:pt>
                <c:pt idx="16">
                  <c:v>54.290262508667695</c:v>
                </c:pt>
                <c:pt idx="17">
                  <c:v>63.338620277541366</c:v>
                </c:pt>
                <c:pt idx="18">
                  <c:v>72.386993494877217</c:v>
                </c:pt>
                <c:pt idx="19">
                  <c:v>81.435367625638264</c:v>
                </c:pt>
                <c:pt idx="20">
                  <c:v>90.483741803698081</c:v>
                </c:pt>
                <c:pt idx="21">
                  <c:v>99.532115983959628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E-4B5D-8D6B-0CA8039B0B6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'Black(1976)'!$K$45:$K$66</c:f>
              <c:numCache>
                <c:formatCode>0.00000</c:formatCode>
                <c:ptCount val="22"/>
                <c:pt idx="0">
                  <c:v>9.9135437280406272E-34</c:v>
                </c:pt>
                <c:pt idx="1">
                  <c:v>7.456891281027028E-18</c:v>
                </c:pt>
                <c:pt idx="2">
                  <c:v>6.2710878709740804E-11</c:v>
                </c:pt>
                <c:pt idx="3">
                  <c:v>4.672793800698454E-7</c:v>
                </c:pt>
                <c:pt idx="4">
                  <c:v>1.231015145297513E-4</c:v>
                </c:pt>
                <c:pt idx="5">
                  <c:v>5.0174587706870305E-3</c:v>
                </c:pt>
                <c:pt idx="6">
                  <c:v>6.5077724028545503E-2</c:v>
                </c:pt>
                <c:pt idx="7">
                  <c:v>0.40033386020632022</c:v>
                </c:pt>
                <c:pt idx="8">
                  <c:v>1.4858982083803074</c:v>
                </c:pt>
                <c:pt idx="9">
                  <c:v>3.8835720984074094</c:v>
                </c:pt>
                <c:pt idx="10">
                  <c:v>7.9282978384947143</c:v>
                </c:pt>
                <c:pt idx="11">
                  <c:v>13.581961009657142</c:v>
                </c:pt>
                <c:pt idx="12">
                  <c:v>20.53296244748104</c:v>
                </c:pt>
                <c:pt idx="13">
                  <c:v>28.385907652982752</c:v>
                </c:pt>
                <c:pt idx="14">
                  <c:v>36.797475039314918</c:v>
                </c:pt>
                <c:pt idx="15">
                  <c:v>45.525025375619947</c:v>
                </c:pt>
                <c:pt idx="16">
                  <c:v>54.418964235307513</c:v>
                </c:pt>
                <c:pt idx="17">
                  <c:v>63.395690520112808</c:v>
                </c:pt>
                <c:pt idx="18">
                  <c:v>72.411796623935984</c:v>
                </c:pt>
                <c:pt idx="19">
                  <c:v>81.445978248098001</c:v>
                </c:pt>
                <c:pt idx="20">
                  <c:v>90.488225729305654</c:v>
                </c:pt>
                <c:pt idx="21">
                  <c:v>99.533993376818344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6E-4B5D-8D6B-0CA8039B0B6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'Black(1976)'!$L$45:$L$66</c:f>
              <c:numCache>
                <c:formatCode>0.00000</c:formatCode>
                <c:ptCount val="22"/>
                <c:pt idx="0">
                  <c:v>7.123559160748391E-16</c:v>
                </c:pt>
                <c:pt idx="1">
                  <c:v>1.3918132927488592E-8</c:v>
                </c:pt>
                <c:pt idx="2">
                  <c:v>2.4183756518897598E-5</c:v>
                </c:pt>
                <c:pt idx="3">
                  <c:v>1.7219953144027196E-3</c:v>
                </c:pt>
                <c:pt idx="4">
                  <c:v>2.6676840176190431E-2</c:v>
                </c:pt>
                <c:pt idx="5">
                  <c:v>0.17566345033605146</c:v>
                </c:pt>
                <c:pt idx="6">
                  <c:v>0.6820406420636802</c:v>
                </c:pt>
                <c:pt idx="7">
                  <c:v>1.870813359809274</c:v>
                </c:pt>
                <c:pt idx="8">
                  <c:v>4.0409864038733083</c:v>
                </c:pt>
                <c:pt idx="9">
                  <c:v>7.3662923225844175</c:v>
                </c:pt>
                <c:pt idx="10">
                  <c:v>11.867750143381514</c:v>
                </c:pt>
                <c:pt idx="11">
                  <c:v>17.445331510373592</c:v>
                </c:pt>
                <c:pt idx="12">
                  <c:v>23.931699616708755</c:v>
                </c:pt>
                <c:pt idx="13">
                  <c:v>31.140246150437775</c:v>
                </c:pt>
                <c:pt idx="14">
                  <c:v>38.896528484474402</c:v>
                </c:pt>
                <c:pt idx="15">
                  <c:v>47.053540887159457</c:v>
                </c:pt>
                <c:pt idx="16">
                  <c:v>55.495648582263769</c:v>
                </c:pt>
                <c:pt idx="17">
                  <c:v>64.13622115820607</c:v>
                </c:pt>
                <c:pt idx="18">
                  <c:v>72.912636257528902</c:v>
                </c:pt>
                <c:pt idx="19">
                  <c:v>81.780821694235414</c:v>
                </c:pt>
                <c:pt idx="20">
                  <c:v>90.710383251327542</c:v>
                </c:pt>
                <c:pt idx="21">
                  <c:v>99.680681064453282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6E-4B5D-8D6B-0CA8039B0B6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'Black(1976)'!$M$45:$M$66</c:f>
              <c:numCache>
                <c:formatCode>0.00000</c:formatCode>
                <c:ptCount val="22"/>
                <c:pt idx="0">
                  <c:v>1.9036211496880099E-9</c:v>
                </c:pt>
                <c:pt idx="1">
                  <c:v>3.614873903145659E-5</c:v>
                </c:pt>
                <c:pt idx="2">
                  <c:v>3.1615182677433434E-3</c:v>
                </c:pt>
                <c:pt idx="3">
                  <c:v>4.3237151521182016E-2</c:v>
                </c:pt>
                <c:pt idx="4">
                  <c:v>0.24231824691642556</c:v>
                </c:pt>
                <c:pt idx="5">
                  <c:v>0.8200630425393669</c:v>
                </c:pt>
                <c:pt idx="6">
                  <c:v>2.0263680522372152</c:v>
                </c:pt>
                <c:pt idx="7">
                  <c:v>4.0611376094415963</c:v>
                </c:pt>
                <c:pt idx="8">
                  <c:v>7.032386966561738</c:v>
                </c:pt>
                <c:pt idx="9">
                  <c:v>10.955897336610171</c:v>
                </c:pt>
                <c:pt idx="10">
                  <c:v>15.777773185494837</c:v>
                </c:pt>
                <c:pt idx="11">
                  <c:v>21.402401627175337</c:v>
                </c:pt>
                <c:pt idx="12">
                  <c:v>27.716260677736138</c:v>
                </c:pt>
                <c:pt idx="13">
                  <c:v>34.604530733514395</c:v>
                </c:pt>
                <c:pt idx="14">
                  <c:v>41.96093309658248</c:v>
                </c:pt>
                <c:pt idx="15">
                  <c:v>49.692464702554034</c:v>
                </c:pt>
                <c:pt idx="16">
                  <c:v>57.720786824764659</c:v>
                </c:pt>
                <c:pt idx="17">
                  <c:v>65.981672809916986</c:v>
                </c:pt>
                <c:pt idx="18">
                  <c:v>74.423489706618113</c:v>
                </c:pt>
                <c:pt idx="19">
                  <c:v>83.005324944001444</c:v>
                </c:pt>
                <c:pt idx="20">
                  <c:v>91.695106207371438</c:v>
                </c:pt>
                <c:pt idx="21">
                  <c:v>100.46789007307056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6E-4B5D-8D6B-0CA8039B0B6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'Black(1976)'!$N$45:$N$66</c:f>
              <c:numCache>
                <c:formatCode>0.00000</c:formatCode>
                <c:ptCount val="22"/>
                <c:pt idx="0">
                  <c:v>2.2837844539228283E-6</c:v>
                </c:pt>
                <c:pt idx="1">
                  <c:v>1.7237864649248865E-3</c:v>
                </c:pt>
                <c:pt idx="2">
                  <c:v>3.7230255180838057E-2</c:v>
                </c:pt>
                <c:pt idx="3">
                  <c:v>0.23356955043365812</c:v>
                </c:pt>
                <c:pt idx="4">
                  <c:v>0.80460836456045071</c:v>
                </c:pt>
                <c:pt idx="5">
                  <c:v>1.9686745438312068</c:v>
                </c:pt>
                <c:pt idx="6">
                  <c:v>3.8830228341554616</c:v>
                </c:pt>
                <c:pt idx="7">
                  <c:v>6.6242322659675956</c:v>
                </c:pt>
                <c:pt idx="8">
                  <c:v>10.198740562789233</c:v>
                </c:pt>
                <c:pt idx="9">
                  <c:v>14.563974613624872</c:v>
                </c:pt>
                <c:pt idx="10">
                  <c:v>19.648898912445702</c:v>
                </c:pt>
                <c:pt idx="11">
                  <c:v>25.369832257406799</c:v>
                </c:pt>
                <c:pt idx="12">
                  <c:v>31.641063857914162</c:v>
                </c:pt>
                <c:pt idx="13">
                  <c:v>38.381205515912185</c:v>
                </c:pt>
                <c:pt idx="14">
                  <c:v>45.516495971166037</c:v>
                </c:pt>
                <c:pt idx="15">
                  <c:v>52.982114632640659</c:v>
                </c:pt>
                <c:pt idx="16">
                  <c:v>60.72229287796209</c:v>
                </c:pt>
                <c:pt idx="17">
                  <c:v>68.689761539159463</c:v>
                </c:pt>
                <c:pt idx="18">
                  <c:v>76.844880337574907</c:v>
                </c:pt>
                <c:pt idx="19">
                  <c:v>85.154659127447573</c:v>
                </c:pt>
                <c:pt idx="20">
                  <c:v>93.591790509940409</c:v>
                </c:pt>
                <c:pt idx="21">
                  <c:v>102.13375603315959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6E-4B5D-8D6B-0CA8039B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221936"/>
        <c:axId val="770197936"/>
      </c:lineChart>
      <c:catAx>
        <c:axId val="770221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197936"/>
        <c:crosses val="autoZero"/>
        <c:auto val="1"/>
        <c:lblAlgn val="ctr"/>
        <c:lblOffset val="100"/>
        <c:noMultiLvlLbl val="0"/>
      </c:catAx>
      <c:valAx>
        <c:axId val="77019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22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 (b) Black</a:t>
            </a:r>
            <a:r>
              <a:rPr lang="en-US" baseline="0"/>
              <a:t> Call(1976) Vs Volatility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'Black(1976)'!$F$31:$F$40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'Black(1976)'!$G$31:$G$40</c:f>
              <c:numCache>
                <c:formatCode>General</c:formatCode>
                <c:ptCount val="10"/>
                <c:pt idx="0">
                  <c:v>15.505218508799018</c:v>
                </c:pt>
                <c:pt idx="1">
                  <c:v>18.149769827918448</c:v>
                </c:pt>
                <c:pt idx="2">
                  <c:v>21.74672521592607</c:v>
                </c:pt>
                <c:pt idx="3">
                  <c:v>25.622576915749491</c:v>
                </c:pt>
                <c:pt idx="4">
                  <c:v>29.588856346497138</c:v>
                </c:pt>
                <c:pt idx="5">
                  <c:v>33.571255281530625</c:v>
                </c:pt>
                <c:pt idx="6">
                  <c:v>37.531678656810172</c:v>
                </c:pt>
                <c:pt idx="7">
                  <c:v>41.446502582000853</c:v>
                </c:pt>
                <c:pt idx="8">
                  <c:v>45.2989888776928</c:v>
                </c:pt>
                <c:pt idx="9">
                  <c:v>49.076194555806296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D4-441B-8DA4-A43AE8672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50432"/>
        <c:axId val="205848512"/>
      </c:scatterChart>
      <c:valAx>
        <c:axId val="20585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48512"/>
        <c:crosses val="autoZero"/>
        <c:crossBetween val="midCat"/>
      </c:valAx>
      <c:valAx>
        <c:axId val="20584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5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Actual VS Fitted Data for Fed Fund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'Estimate Taylor Rule'!$B$3</c:f>
              <c:strCache>
                <c:ptCount val="1"/>
                <c:pt idx="0">
                  <c:v>Fed Fund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'Estimate Taylor Rule'!$A$4:$A$80</c:f>
              <c:numCache>
                <c:formatCode>yyyy\-mm\-dd</c:formatCode>
                <c:ptCount val="77"/>
                <c:pt idx="0">
                  <c:v>32051</c:v>
                </c:pt>
                <c:pt idx="1">
                  <c:v>32143</c:v>
                </c:pt>
                <c:pt idx="2">
                  <c:v>32234</c:v>
                </c:pt>
                <c:pt idx="3">
                  <c:v>32325</c:v>
                </c:pt>
                <c:pt idx="4">
                  <c:v>32417</c:v>
                </c:pt>
                <c:pt idx="5">
                  <c:v>32509</c:v>
                </c:pt>
                <c:pt idx="6">
                  <c:v>32599</c:v>
                </c:pt>
                <c:pt idx="7">
                  <c:v>32690</c:v>
                </c:pt>
                <c:pt idx="8">
                  <c:v>32782</c:v>
                </c:pt>
                <c:pt idx="9">
                  <c:v>32874</c:v>
                </c:pt>
                <c:pt idx="10">
                  <c:v>32964</c:v>
                </c:pt>
                <c:pt idx="11">
                  <c:v>33055</c:v>
                </c:pt>
                <c:pt idx="12">
                  <c:v>33147</c:v>
                </c:pt>
                <c:pt idx="13">
                  <c:v>33239</c:v>
                </c:pt>
                <c:pt idx="14">
                  <c:v>33329</c:v>
                </c:pt>
                <c:pt idx="15">
                  <c:v>33420</c:v>
                </c:pt>
                <c:pt idx="16">
                  <c:v>33512</c:v>
                </c:pt>
                <c:pt idx="17">
                  <c:v>33604</c:v>
                </c:pt>
                <c:pt idx="18">
                  <c:v>33695</c:v>
                </c:pt>
                <c:pt idx="19">
                  <c:v>33786</c:v>
                </c:pt>
                <c:pt idx="20">
                  <c:v>33878</c:v>
                </c:pt>
                <c:pt idx="21">
                  <c:v>33970</c:v>
                </c:pt>
                <c:pt idx="22">
                  <c:v>34060</c:v>
                </c:pt>
                <c:pt idx="23">
                  <c:v>34151</c:v>
                </c:pt>
                <c:pt idx="24">
                  <c:v>34243</c:v>
                </c:pt>
                <c:pt idx="25">
                  <c:v>34335</c:v>
                </c:pt>
                <c:pt idx="26">
                  <c:v>34425</c:v>
                </c:pt>
                <c:pt idx="27">
                  <c:v>34516</c:v>
                </c:pt>
                <c:pt idx="28">
                  <c:v>34608</c:v>
                </c:pt>
                <c:pt idx="29">
                  <c:v>34700</c:v>
                </c:pt>
                <c:pt idx="30">
                  <c:v>34790</c:v>
                </c:pt>
                <c:pt idx="31">
                  <c:v>34881</c:v>
                </c:pt>
                <c:pt idx="32">
                  <c:v>34973</c:v>
                </c:pt>
                <c:pt idx="33">
                  <c:v>35065</c:v>
                </c:pt>
                <c:pt idx="34">
                  <c:v>35156</c:v>
                </c:pt>
                <c:pt idx="35">
                  <c:v>35247</c:v>
                </c:pt>
                <c:pt idx="36">
                  <c:v>35339</c:v>
                </c:pt>
                <c:pt idx="37">
                  <c:v>35431</c:v>
                </c:pt>
                <c:pt idx="38">
                  <c:v>35521</c:v>
                </c:pt>
                <c:pt idx="39">
                  <c:v>35612</c:v>
                </c:pt>
                <c:pt idx="40">
                  <c:v>35704</c:v>
                </c:pt>
                <c:pt idx="41">
                  <c:v>35796</c:v>
                </c:pt>
                <c:pt idx="42">
                  <c:v>35886</c:v>
                </c:pt>
                <c:pt idx="43">
                  <c:v>35977</c:v>
                </c:pt>
                <c:pt idx="44">
                  <c:v>36069</c:v>
                </c:pt>
                <c:pt idx="45">
                  <c:v>36161</c:v>
                </c:pt>
                <c:pt idx="46">
                  <c:v>36251</c:v>
                </c:pt>
                <c:pt idx="47">
                  <c:v>36342</c:v>
                </c:pt>
                <c:pt idx="48">
                  <c:v>36434</c:v>
                </c:pt>
                <c:pt idx="49">
                  <c:v>36526</c:v>
                </c:pt>
                <c:pt idx="50">
                  <c:v>36617</c:v>
                </c:pt>
                <c:pt idx="51">
                  <c:v>36708</c:v>
                </c:pt>
                <c:pt idx="52">
                  <c:v>36800</c:v>
                </c:pt>
                <c:pt idx="53">
                  <c:v>36892</c:v>
                </c:pt>
                <c:pt idx="54">
                  <c:v>36982</c:v>
                </c:pt>
                <c:pt idx="55">
                  <c:v>37073</c:v>
                </c:pt>
                <c:pt idx="56">
                  <c:v>37165</c:v>
                </c:pt>
                <c:pt idx="57">
                  <c:v>37257</c:v>
                </c:pt>
                <c:pt idx="58">
                  <c:v>37347</c:v>
                </c:pt>
                <c:pt idx="59">
                  <c:v>37438</c:v>
                </c:pt>
                <c:pt idx="60">
                  <c:v>37530</c:v>
                </c:pt>
                <c:pt idx="61">
                  <c:v>37622</c:v>
                </c:pt>
                <c:pt idx="62">
                  <c:v>37712</c:v>
                </c:pt>
                <c:pt idx="63">
                  <c:v>37803</c:v>
                </c:pt>
                <c:pt idx="64">
                  <c:v>37895</c:v>
                </c:pt>
                <c:pt idx="65">
                  <c:v>37987</c:v>
                </c:pt>
                <c:pt idx="66">
                  <c:v>38078</c:v>
                </c:pt>
                <c:pt idx="67">
                  <c:v>38169</c:v>
                </c:pt>
                <c:pt idx="68">
                  <c:v>38261</c:v>
                </c:pt>
                <c:pt idx="69">
                  <c:v>38353</c:v>
                </c:pt>
                <c:pt idx="70">
                  <c:v>38443</c:v>
                </c:pt>
                <c:pt idx="71">
                  <c:v>38534</c:v>
                </c:pt>
                <c:pt idx="72">
                  <c:v>38626</c:v>
                </c:pt>
                <c:pt idx="73">
                  <c:v>38718</c:v>
                </c:pt>
                <c:pt idx="74">
                  <c:v>38808</c:v>
                </c:pt>
                <c:pt idx="75">
                  <c:v>38899</c:v>
                </c:pt>
                <c:pt idx="76">
                  <c:v>38991</c:v>
                </c:pt>
              </c:numCache>
            </c:numRef>
          </c:cat>
          <c:val>
            <c:numRef>
              <c:f>'Estimate Taylor Rule'!$B$4:$B$80</c:f>
              <c:numCache>
                <c:formatCode>0.0000</c:formatCode>
                <c:ptCount val="77"/>
                <c:pt idx="0">
                  <c:v>7.2900000000000006E-2</c:v>
                </c:pt>
                <c:pt idx="1">
                  <c:v>6.83E-2</c:v>
                </c:pt>
                <c:pt idx="2">
                  <c:v>6.8699999999999997E-2</c:v>
                </c:pt>
                <c:pt idx="3">
                  <c:v>7.7499999999999999E-2</c:v>
                </c:pt>
                <c:pt idx="4">
                  <c:v>8.3000000000000004E-2</c:v>
                </c:pt>
                <c:pt idx="5">
                  <c:v>9.1200000000000003E-2</c:v>
                </c:pt>
                <c:pt idx="6">
                  <c:v>9.8400000000000001E-2</c:v>
                </c:pt>
                <c:pt idx="7">
                  <c:v>9.2399999999999996E-2</c:v>
                </c:pt>
                <c:pt idx="8">
                  <c:v>8.8400000000000006E-2</c:v>
                </c:pt>
                <c:pt idx="9">
                  <c:v>8.2299999999999998E-2</c:v>
                </c:pt>
                <c:pt idx="10">
                  <c:v>8.2600000000000007E-2</c:v>
                </c:pt>
                <c:pt idx="11">
                  <c:v>8.1500000000000003E-2</c:v>
                </c:pt>
                <c:pt idx="12">
                  <c:v>8.1100000000000005E-2</c:v>
                </c:pt>
                <c:pt idx="13">
                  <c:v>6.9099999999999995E-2</c:v>
                </c:pt>
                <c:pt idx="14">
                  <c:v>5.91E-2</c:v>
                </c:pt>
                <c:pt idx="15">
                  <c:v>5.8200000000000002E-2</c:v>
                </c:pt>
                <c:pt idx="16">
                  <c:v>5.21E-2</c:v>
                </c:pt>
                <c:pt idx="17">
                  <c:v>4.0300000000000002E-2</c:v>
                </c:pt>
                <c:pt idx="18">
                  <c:v>3.73E-2</c:v>
                </c:pt>
                <c:pt idx="19">
                  <c:v>3.2500000000000001E-2</c:v>
                </c:pt>
                <c:pt idx="20">
                  <c:v>3.1E-2</c:v>
                </c:pt>
                <c:pt idx="21">
                  <c:v>3.0200000000000001E-2</c:v>
                </c:pt>
                <c:pt idx="22">
                  <c:v>2.9600000000000001E-2</c:v>
                </c:pt>
                <c:pt idx="23">
                  <c:v>3.0599999999999999E-2</c:v>
                </c:pt>
                <c:pt idx="24">
                  <c:v>2.9899999999999999E-2</c:v>
                </c:pt>
                <c:pt idx="25">
                  <c:v>3.0499999999999999E-2</c:v>
                </c:pt>
                <c:pt idx="26">
                  <c:v>3.56E-2</c:v>
                </c:pt>
                <c:pt idx="27">
                  <c:v>4.2599999999999999E-2</c:v>
                </c:pt>
                <c:pt idx="28">
                  <c:v>4.7600000000000003E-2</c:v>
                </c:pt>
                <c:pt idx="29">
                  <c:v>5.5300000000000002E-2</c:v>
                </c:pt>
                <c:pt idx="30">
                  <c:v>6.0499999999999998E-2</c:v>
                </c:pt>
                <c:pt idx="31">
                  <c:v>5.8500000000000003E-2</c:v>
                </c:pt>
                <c:pt idx="32">
                  <c:v>5.7599999999999998E-2</c:v>
                </c:pt>
                <c:pt idx="33">
                  <c:v>5.5599999999999997E-2</c:v>
                </c:pt>
                <c:pt idx="34">
                  <c:v>5.2200000000000003E-2</c:v>
                </c:pt>
                <c:pt idx="35">
                  <c:v>5.3999999999999999E-2</c:v>
                </c:pt>
                <c:pt idx="36">
                  <c:v>5.2400000000000002E-2</c:v>
                </c:pt>
                <c:pt idx="37">
                  <c:v>5.2499999999999998E-2</c:v>
                </c:pt>
                <c:pt idx="38">
                  <c:v>5.5100000000000003E-2</c:v>
                </c:pt>
                <c:pt idx="39">
                  <c:v>5.5199999999999999E-2</c:v>
                </c:pt>
                <c:pt idx="40">
                  <c:v>5.5E-2</c:v>
                </c:pt>
                <c:pt idx="41">
                  <c:v>5.5599999999999997E-2</c:v>
                </c:pt>
                <c:pt idx="42">
                  <c:v>5.45E-2</c:v>
                </c:pt>
                <c:pt idx="43">
                  <c:v>5.5399999999999998E-2</c:v>
                </c:pt>
                <c:pt idx="44">
                  <c:v>5.0700000000000002E-2</c:v>
                </c:pt>
                <c:pt idx="45">
                  <c:v>4.6300000000000001E-2</c:v>
                </c:pt>
                <c:pt idx="46">
                  <c:v>4.7399999999999998E-2</c:v>
                </c:pt>
                <c:pt idx="47">
                  <c:v>4.99E-2</c:v>
                </c:pt>
                <c:pt idx="48">
                  <c:v>5.1999999999999998E-2</c:v>
                </c:pt>
                <c:pt idx="49">
                  <c:v>5.45E-2</c:v>
                </c:pt>
                <c:pt idx="50">
                  <c:v>6.0199999999999997E-2</c:v>
                </c:pt>
                <c:pt idx="51">
                  <c:v>6.54E-2</c:v>
                </c:pt>
                <c:pt idx="52">
                  <c:v>6.5100000000000005E-2</c:v>
                </c:pt>
                <c:pt idx="53">
                  <c:v>5.9799999999999999E-2</c:v>
                </c:pt>
                <c:pt idx="54">
                  <c:v>4.8000000000000001E-2</c:v>
                </c:pt>
                <c:pt idx="55">
                  <c:v>3.7699999999999997E-2</c:v>
                </c:pt>
                <c:pt idx="56">
                  <c:v>2.4899999999999999E-2</c:v>
                </c:pt>
                <c:pt idx="57">
                  <c:v>1.7299999999999999E-2</c:v>
                </c:pt>
                <c:pt idx="58">
                  <c:v>1.7500000000000002E-2</c:v>
                </c:pt>
                <c:pt idx="59">
                  <c:v>1.7299999999999999E-2</c:v>
                </c:pt>
                <c:pt idx="60">
                  <c:v>1.7500000000000002E-2</c:v>
                </c:pt>
                <c:pt idx="61">
                  <c:v>1.24E-2</c:v>
                </c:pt>
                <c:pt idx="62">
                  <c:v>1.26E-2</c:v>
                </c:pt>
                <c:pt idx="63">
                  <c:v>1.01E-2</c:v>
                </c:pt>
                <c:pt idx="64">
                  <c:v>1.01E-2</c:v>
                </c:pt>
                <c:pt idx="65">
                  <c:v>0.01</c:v>
                </c:pt>
                <c:pt idx="66">
                  <c:v>0.01</c:v>
                </c:pt>
                <c:pt idx="67">
                  <c:v>1.26E-2</c:v>
                </c:pt>
                <c:pt idx="68">
                  <c:v>1.7600000000000001E-2</c:v>
                </c:pt>
                <c:pt idx="69">
                  <c:v>2.2800000000000001E-2</c:v>
                </c:pt>
                <c:pt idx="70">
                  <c:v>2.7900000000000001E-2</c:v>
                </c:pt>
                <c:pt idx="71">
                  <c:v>3.2599999999999997E-2</c:v>
                </c:pt>
                <c:pt idx="72">
                  <c:v>3.78E-2</c:v>
                </c:pt>
                <c:pt idx="73">
                  <c:v>4.2900000000000001E-2</c:v>
                </c:pt>
                <c:pt idx="74">
                  <c:v>4.7899999999999998E-2</c:v>
                </c:pt>
                <c:pt idx="75" formatCode="0.00000">
                  <c:v>6.1464017188872559E-2</c:v>
                </c:pt>
                <c:pt idx="76" formatCode="General">
                  <c:v>5.2499999999999998E-2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9D-416D-A6C8-55E0D33FC340}"/>
            </c:ext>
          </c:extLst>
        </c:ser>
        <c:ser>
          <c:idx val="1"/>
          <c:order val="1"/>
          <c:tx>
            <c:strRef>
              <c:f>'Estimate Taylor Rule'!$O$3</c:f>
              <c:strCache>
                <c:ptCount val="1"/>
                <c:pt idx="0">
                  <c:v>Fitted Fed Fund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'Estimate Taylor Rule'!$A$4:$A$80</c:f>
              <c:numCache>
                <c:formatCode>yyyy\-mm\-dd</c:formatCode>
                <c:ptCount val="77"/>
                <c:pt idx="0">
                  <c:v>32051</c:v>
                </c:pt>
                <c:pt idx="1">
                  <c:v>32143</c:v>
                </c:pt>
                <c:pt idx="2">
                  <c:v>32234</c:v>
                </c:pt>
                <c:pt idx="3">
                  <c:v>32325</c:v>
                </c:pt>
                <c:pt idx="4">
                  <c:v>32417</c:v>
                </c:pt>
                <c:pt idx="5">
                  <c:v>32509</c:v>
                </c:pt>
                <c:pt idx="6">
                  <c:v>32599</c:v>
                </c:pt>
                <c:pt idx="7">
                  <c:v>32690</c:v>
                </c:pt>
                <c:pt idx="8">
                  <c:v>32782</c:v>
                </c:pt>
                <c:pt idx="9">
                  <c:v>32874</c:v>
                </c:pt>
                <c:pt idx="10">
                  <c:v>32964</c:v>
                </c:pt>
                <c:pt idx="11">
                  <c:v>33055</c:v>
                </c:pt>
                <c:pt idx="12">
                  <c:v>33147</c:v>
                </c:pt>
                <c:pt idx="13">
                  <c:v>33239</c:v>
                </c:pt>
                <c:pt idx="14">
                  <c:v>33329</c:v>
                </c:pt>
                <c:pt idx="15">
                  <c:v>33420</c:v>
                </c:pt>
                <c:pt idx="16">
                  <c:v>33512</c:v>
                </c:pt>
                <c:pt idx="17">
                  <c:v>33604</c:v>
                </c:pt>
                <c:pt idx="18">
                  <c:v>33695</c:v>
                </c:pt>
                <c:pt idx="19">
                  <c:v>33786</c:v>
                </c:pt>
                <c:pt idx="20">
                  <c:v>33878</c:v>
                </c:pt>
                <c:pt idx="21">
                  <c:v>33970</c:v>
                </c:pt>
                <c:pt idx="22">
                  <c:v>34060</c:v>
                </c:pt>
                <c:pt idx="23">
                  <c:v>34151</c:v>
                </c:pt>
                <c:pt idx="24">
                  <c:v>34243</c:v>
                </c:pt>
                <c:pt idx="25">
                  <c:v>34335</c:v>
                </c:pt>
                <c:pt idx="26">
                  <c:v>34425</c:v>
                </c:pt>
                <c:pt idx="27">
                  <c:v>34516</c:v>
                </c:pt>
                <c:pt idx="28">
                  <c:v>34608</c:v>
                </c:pt>
                <c:pt idx="29">
                  <c:v>34700</c:v>
                </c:pt>
                <c:pt idx="30">
                  <c:v>34790</c:v>
                </c:pt>
                <c:pt idx="31">
                  <c:v>34881</c:v>
                </c:pt>
                <c:pt idx="32">
                  <c:v>34973</c:v>
                </c:pt>
                <c:pt idx="33">
                  <c:v>35065</c:v>
                </c:pt>
                <c:pt idx="34">
                  <c:v>35156</c:v>
                </c:pt>
                <c:pt idx="35">
                  <c:v>35247</c:v>
                </c:pt>
                <c:pt idx="36">
                  <c:v>35339</c:v>
                </c:pt>
                <c:pt idx="37">
                  <c:v>35431</c:v>
                </c:pt>
                <c:pt idx="38">
                  <c:v>35521</c:v>
                </c:pt>
                <c:pt idx="39">
                  <c:v>35612</c:v>
                </c:pt>
                <c:pt idx="40">
                  <c:v>35704</c:v>
                </c:pt>
                <c:pt idx="41">
                  <c:v>35796</c:v>
                </c:pt>
                <c:pt idx="42">
                  <c:v>35886</c:v>
                </c:pt>
                <c:pt idx="43">
                  <c:v>35977</c:v>
                </c:pt>
                <c:pt idx="44">
                  <c:v>36069</c:v>
                </c:pt>
                <c:pt idx="45">
                  <c:v>36161</c:v>
                </c:pt>
                <c:pt idx="46">
                  <c:v>36251</c:v>
                </c:pt>
                <c:pt idx="47">
                  <c:v>36342</c:v>
                </c:pt>
                <c:pt idx="48">
                  <c:v>36434</c:v>
                </c:pt>
                <c:pt idx="49">
                  <c:v>36526</c:v>
                </c:pt>
                <c:pt idx="50">
                  <c:v>36617</c:v>
                </c:pt>
                <c:pt idx="51">
                  <c:v>36708</c:v>
                </c:pt>
                <c:pt idx="52">
                  <c:v>36800</c:v>
                </c:pt>
                <c:pt idx="53">
                  <c:v>36892</c:v>
                </c:pt>
                <c:pt idx="54">
                  <c:v>36982</c:v>
                </c:pt>
                <c:pt idx="55">
                  <c:v>37073</c:v>
                </c:pt>
                <c:pt idx="56">
                  <c:v>37165</c:v>
                </c:pt>
                <c:pt idx="57">
                  <c:v>37257</c:v>
                </c:pt>
                <c:pt idx="58">
                  <c:v>37347</c:v>
                </c:pt>
                <c:pt idx="59">
                  <c:v>37438</c:v>
                </c:pt>
                <c:pt idx="60">
                  <c:v>37530</c:v>
                </c:pt>
                <c:pt idx="61">
                  <c:v>37622</c:v>
                </c:pt>
                <c:pt idx="62">
                  <c:v>37712</c:v>
                </c:pt>
                <c:pt idx="63">
                  <c:v>37803</c:v>
                </c:pt>
                <c:pt idx="64">
                  <c:v>37895</c:v>
                </c:pt>
                <c:pt idx="65">
                  <c:v>37987</c:v>
                </c:pt>
                <c:pt idx="66">
                  <c:v>38078</c:v>
                </c:pt>
                <c:pt idx="67">
                  <c:v>38169</c:v>
                </c:pt>
                <c:pt idx="68">
                  <c:v>38261</c:v>
                </c:pt>
                <c:pt idx="69">
                  <c:v>38353</c:v>
                </c:pt>
                <c:pt idx="70">
                  <c:v>38443</c:v>
                </c:pt>
                <c:pt idx="71">
                  <c:v>38534</c:v>
                </c:pt>
                <c:pt idx="72">
                  <c:v>38626</c:v>
                </c:pt>
                <c:pt idx="73">
                  <c:v>38718</c:v>
                </c:pt>
                <c:pt idx="74">
                  <c:v>38808</c:v>
                </c:pt>
                <c:pt idx="75">
                  <c:v>38899</c:v>
                </c:pt>
                <c:pt idx="76">
                  <c:v>38991</c:v>
                </c:pt>
              </c:numCache>
            </c:numRef>
          </c:cat>
          <c:val>
            <c:numRef>
              <c:f>'Estimate Taylor Rule'!$O$4:$O$80</c:f>
              <c:numCache>
                <c:formatCode>General</c:formatCode>
                <c:ptCount val="77"/>
                <c:pt idx="0">
                  <c:v>6.3316275110032405E-2</c:v>
                </c:pt>
                <c:pt idx="1">
                  <c:v>6.0975279444476248E-2</c:v>
                </c:pt>
                <c:pt idx="2">
                  <c:v>6.0840369717701279E-2</c:v>
                </c:pt>
                <c:pt idx="3">
                  <c:v>6.2810518284543107E-2</c:v>
                </c:pt>
                <c:pt idx="4">
                  <c:v>6.6513582630135029E-2</c:v>
                </c:pt>
                <c:pt idx="5">
                  <c:v>7.0612926440143442E-2</c:v>
                </c:pt>
                <c:pt idx="6">
                  <c:v>7.8533256729958201E-2</c:v>
                </c:pt>
                <c:pt idx="7">
                  <c:v>7.8952154816831654E-2</c:v>
                </c:pt>
                <c:pt idx="8">
                  <c:v>7.0288664716410335E-2</c:v>
                </c:pt>
                <c:pt idx="9">
                  <c:v>7.9975550044365115E-2</c:v>
                </c:pt>
                <c:pt idx="10">
                  <c:v>7.2988469236242345E-2</c:v>
                </c:pt>
                <c:pt idx="11">
                  <c:v>7.0887174866187008E-2</c:v>
                </c:pt>
                <c:pt idx="12">
                  <c:v>8.9652861042078646E-2</c:v>
                </c:pt>
                <c:pt idx="13">
                  <c:v>7.457050145491019E-2</c:v>
                </c:pt>
                <c:pt idx="14">
                  <c:v>6.07214155685325E-2</c:v>
                </c:pt>
                <c:pt idx="15">
                  <c:v>5.3458585185176336E-2</c:v>
                </c:pt>
                <c:pt idx="16">
                  <c:v>2.9811106698165557E-2</c:v>
                </c:pt>
                <c:pt idx="17">
                  <c:v>2.4547473911314524E-2</c:v>
                </c:pt>
                <c:pt idx="18">
                  <c:v>3.005279495880378E-2</c:v>
                </c:pt>
                <c:pt idx="19">
                  <c:v>2.9683538585520253E-2</c:v>
                </c:pt>
                <c:pt idx="20">
                  <c:v>3.3270889671652037E-2</c:v>
                </c:pt>
                <c:pt idx="21">
                  <c:v>3.563201286836537E-2</c:v>
                </c:pt>
                <c:pt idx="22">
                  <c:v>3.4232715717702811E-2</c:v>
                </c:pt>
                <c:pt idx="23">
                  <c:v>3.2523975698854263E-2</c:v>
                </c:pt>
                <c:pt idx="24">
                  <c:v>3.298780331461941E-2</c:v>
                </c:pt>
                <c:pt idx="25">
                  <c:v>2.8659502333697948E-2</c:v>
                </c:pt>
                <c:pt idx="26">
                  <c:v>3.1063536651099122E-2</c:v>
                </c:pt>
                <c:pt idx="27">
                  <c:v>3.7693428677859769E-2</c:v>
                </c:pt>
                <c:pt idx="28">
                  <c:v>4.006174596609282E-2</c:v>
                </c:pt>
                <c:pt idx="29">
                  <c:v>4.4721808362588822E-2</c:v>
                </c:pt>
                <c:pt idx="30">
                  <c:v>4.6549238076886872E-2</c:v>
                </c:pt>
                <c:pt idx="31">
                  <c:v>4.2314335029691695E-2</c:v>
                </c:pt>
                <c:pt idx="32">
                  <c:v>4.1992667880945835E-2</c:v>
                </c:pt>
                <c:pt idx="33">
                  <c:v>4.3570962739134828E-2</c:v>
                </c:pt>
                <c:pt idx="34">
                  <c:v>4.4173952102631309E-2</c:v>
                </c:pt>
                <c:pt idx="35">
                  <c:v>4.6725876155480323E-2</c:v>
                </c:pt>
                <c:pt idx="36">
                  <c:v>4.9290480837457559E-2</c:v>
                </c:pt>
                <c:pt idx="37">
                  <c:v>4.9861257725843162E-2</c:v>
                </c:pt>
                <c:pt idx="38">
                  <c:v>4.3011684921297554E-2</c:v>
                </c:pt>
                <c:pt idx="39">
                  <c:v>4.0063361639444808E-2</c:v>
                </c:pt>
                <c:pt idx="40">
                  <c:v>4.074328664655965E-2</c:v>
                </c:pt>
                <c:pt idx="41">
                  <c:v>3.5121408912696689E-2</c:v>
                </c:pt>
                <c:pt idx="42">
                  <c:v>3.4176967318952214E-2</c:v>
                </c:pt>
                <c:pt idx="43">
                  <c:v>3.7678407499839708E-2</c:v>
                </c:pt>
                <c:pt idx="44">
                  <c:v>3.4861724157631419E-2</c:v>
                </c:pt>
                <c:pt idx="45">
                  <c:v>3.8367938555490241E-2</c:v>
                </c:pt>
                <c:pt idx="46">
                  <c:v>4.7194639233027219E-2</c:v>
                </c:pt>
                <c:pt idx="47">
                  <c:v>4.6145417603591248E-2</c:v>
                </c:pt>
                <c:pt idx="48">
                  <c:v>5.3060852799793064E-2</c:v>
                </c:pt>
                <c:pt idx="49">
                  <c:v>5.7282724009513251E-2</c:v>
                </c:pt>
                <c:pt idx="50">
                  <c:v>6.1367959103306155E-2</c:v>
                </c:pt>
                <c:pt idx="51">
                  <c:v>6.8865389122051424E-2</c:v>
                </c:pt>
                <c:pt idx="52">
                  <c:v>6.7637664867313541E-2</c:v>
                </c:pt>
                <c:pt idx="53">
                  <c:v>6.8792905916156666E-2</c:v>
                </c:pt>
                <c:pt idx="54">
                  <c:v>5.9744245554102085E-2</c:v>
                </c:pt>
                <c:pt idx="55">
                  <c:v>4.8960376016346313E-2</c:v>
                </c:pt>
                <c:pt idx="56">
                  <c:v>3.404655891807909E-2</c:v>
                </c:pt>
                <c:pt idx="57">
                  <c:v>1.8838116224103328E-2</c:v>
                </c:pt>
                <c:pt idx="58">
                  <c:v>2.4362898238688667E-2</c:v>
                </c:pt>
                <c:pt idx="59">
                  <c:v>2.2712510959158431E-2</c:v>
                </c:pt>
                <c:pt idx="60">
                  <c:v>2.8953177901531221E-2</c:v>
                </c:pt>
                <c:pt idx="61">
                  <c:v>3.7020523605647601E-2</c:v>
                </c:pt>
                <c:pt idx="62">
                  <c:v>3.0057833188144013E-2</c:v>
                </c:pt>
                <c:pt idx="63">
                  <c:v>2.8337120461735719E-2</c:v>
                </c:pt>
                <c:pt idx="64">
                  <c:v>3.007939093449221E-2</c:v>
                </c:pt>
                <c:pt idx="65">
                  <c:v>3.0026379375033642E-2</c:v>
                </c:pt>
                <c:pt idx="66">
                  <c:v>3.5485634691153269E-2</c:v>
                </c:pt>
                <c:pt idx="67">
                  <c:v>4.738008454860175E-2</c:v>
                </c:pt>
                <c:pt idx="68">
                  <c:v>5.0231940646894624E-2</c:v>
                </c:pt>
                <c:pt idx="69">
                  <c:v>4.7033747289665098E-2</c:v>
                </c:pt>
                <c:pt idx="70">
                  <c:v>5.6162809424388609E-2</c:v>
                </c:pt>
                <c:pt idx="71">
                  <c:v>5.2055509494168976E-2</c:v>
                </c:pt>
                <c:pt idx="72">
                  <c:v>7.1284161724094408E-2</c:v>
                </c:pt>
                <c:pt idx="73">
                  <c:v>6.8598402908807282E-2</c:v>
                </c:pt>
                <c:pt idx="74">
                  <c:v>6.2808375106800332E-2</c:v>
                </c:pt>
                <c:pt idx="75">
                  <c:v>7.1329306917433166E-2</c:v>
                </c:pt>
                <c:pt idx="76">
                  <c:v>3.2263891501006836E-2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9D-416D-A6C8-55E0D33FC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85184"/>
        <c:axId val="1064166944"/>
      </c:lineChart>
      <c:dateAx>
        <c:axId val="1064185184"/>
        <c:scaling>
          <c:orientation val="minMax"/>
        </c:scaling>
        <c:delete val="0"/>
        <c:axPos val="b"/>
        <c:numFmt formatCode="yyyy\-mm\-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66944"/>
        <c:crosses val="autoZero"/>
        <c:auto val="1"/>
        <c:lblOffset val="100"/>
        <c:baseTimeUnit val="months"/>
      </c:dateAx>
      <c:valAx>
        <c:axId val="106416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8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Actual VS Fitted Data for Fed Fund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'Taylor Rule with Dummy'!$B$3</c:f>
              <c:strCache>
                <c:ptCount val="1"/>
                <c:pt idx="0">
                  <c:v>Fed Fund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'Taylor Rule with Dummy'!$A$4:$A$80</c:f>
              <c:numCache>
                <c:formatCode>yyyy\-mm\-dd</c:formatCode>
                <c:ptCount val="77"/>
                <c:pt idx="0">
                  <c:v>32051</c:v>
                </c:pt>
                <c:pt idx="1">
                  <c:v>32143</c:v>
                </c:pt>
                <c:pt idx="2">
                  <c:v>32234</c:v>
                </c:pt>
                <c:pt idx="3">
                  <c:v>32325</c:v>
                </c:pt>
                <c:pt idx="4">
                  <c:v>32417</c:v>
                </c:pt>
                <c:pt idx="5">
                  <c:v>32509</c:v>
                </c:pt>
                <c:pt idx="6">
                  <c:v>32599</c:v>
                </c:pt>
                <c:pt idx="7">
                  <c:v>32690</c:v>
                </c:pt>
                <c:pt idx="8">
                  <c:v>32782</c:v>
                </c:pt>
                <c:pt idx="9">
                  <c:v>32874</c:v>
                </c:pt>
                <c:pt idx="10">
                  <c:v>32964</c:v>
                </c:pt>
                <c:pt idx="11">
                  <c:v>33055</c:v>
                </c:pt>
                <c:pt idx="12">
                  <c:v>33147</c:v>
                </c:pt>
                <c:pt idx="13">
                  <c:v>33239</c:v>
                </c:pt>
                <c:pt idx="14">
                  <c:v>33329</c:v>
                </c:pt>
                <c:pt idx="15">
                  <c:v>33420</c:v>
                </c:pt>
                <c:pt idx="16">
                  <c:v>33512</c:v>
                </c:pt>
                <c:pt idx="17">
                  <c:v>33604</c:v>
                </c:pt>
                <c:pt idx="18">
                  <c:v>33695</c:v>
                </c:pt>
                <c:pt idx="19">
                  <c:v>33786</c:v>
                </c:pt>
                <c:pt idx="20">
                  <c:v>33878</c:v>
                </c:pt>
                <c:pt idx="21">
                  <c:v>33970</c:v>
                </c:pt>
                <c:pt idx="22">
                  <c:v>34060</c:v>
                </c:pt>
                <c:pt idx="23">
                  <c:v>34151</c:v>
                </c:pt>
                <c:pt idx="24">
                  <c:v>34243</c:v>
                </c:pt>
                <c:pt idx="25">
                  <c:v>34335</c:v>
                </c:pt>
                <c:pt idx="26">
                  <c:v>34425</c:v>
                </c:pt>
                <c:pt idx="27">
                  <c:v>34516</c:v>
                </c:pt>
                <c:pt idx="28">
                  <c:v>34608</c:v>
                </c:pt>
                <c:pt idx="29">
                  <c:v>34700</c:v>
                </c:pt>
                <c:pt idx="30">
                  <c:v>34790</c:v>
                </c:pt>
                <c:pt idx="31">
                  <c:v>34881</c:v>
                </c:pt>
                <c:pt idx="32">
                  <c:v>34973</c:v>
                </c:pt>
                <c:pt idx="33">
                  <c:v>35065</c:v>
                </c:pt>
                <c:pt idx="34">
                  <c:v>35156</c:v>
                </c:pt>
                <c:pt idx="35">
                  <c:v>35247</c:v>
                </c:pt>
                <c:pt idx="36">
                  <c:v>35339</c:v>
                </c:pt>
                <c:pt idx="37">
                  <c:v>35431</c:v>
                </c:pt>
                <c:pt idx="38">
                  <c:v>35521</c:v>
                </c:pt>
                <c:pt idx="39">
                  <c:v>35612</c:v>
                </c:pt>
                <c:pt idx="40">
                  <c:v>35704</c:v>
                </c:pt>
                <c:pt idx="41">
                  <c:v>35796</c:v>
                </c:pt>
                <c:pt idx="42">
                  <c:v>35886</c:v>
                </c:pt>
                <c:pt idx="43">
                  <c:v>35977</c:v>
                </c:pt>
                <c:pt idx="44">
                  <c:v>36069</c:v>
                </c:pt>
                <c:pt idx="45">
                  <c:v>36161</c:v>
                </c:pt>
                <c:pt idx="46">
                  <c:v>36251</c:v>
                </c:pt>
                <c:pt idx="47">
                  <c:v>36342</c:v>
                </c:pt>
                <c:pt idx="48">
                  <c:v>36434</c:v>
                </c:pt>
                <c:pt idx="49">
                  <c:v>36526</c:v>
                </c:pt>
                <c:pt idx="50">
                  <c:v>36617</c:v>
                </c:pt>
                <c:pt idx="51">
                  <c:v>36708</c:v>
                </c:pt>
                <c:pt idx="52">
                  <c:v>36800</c:v>
                </c:pt>
                <c:pt idx="53">
                  <c:v>36892</c:v>
                </c:pt>
                <c:pt idx="54">
                  <c:v>36982</c:v>
                </c:pt>
                <c:pt idx="55">
                  <c:v>37073</c:v>
                </c:pt>
                <c:pt idx="56">
                  <c:v>37165</c:v>
                </c:pt>
                <c:pt idx="57">
                  <c:v>37257</c:v>
                </c:pt>
                <c:pt idx="58">
                  <c:v>37347</c:v>
                </c:pt>
                <c:pt idx="59">
                  <c:v>37438</c:v>
                </c:pt>
                <c:pt idx="60">
                  <c:v>37530</c:v>
                </c:pt>
                <c:pt idx="61">
                  <c:v>37622</c:v>
                </c:pt>
                <c:pt idx="62">
                  <c:v>37712</c:v>
                </c:pt>
                <c:pt idx="63">
                  <c:v>37803</c:v>
                </c:pt>
                <c:pt idx="64">
                  <c:v>37895</c:v>
                </c:pt>
                <c:pt idx="65">
                  <c:v>37987</c:v>
                </c:pt>
                <c:pt idx="66">
                  <c:v>38078</c:v>
                </c:pt>
                <c:pt idx="67">
                  <c:v>38169</c:v>
                </c:pt>
                <c:pt idx="68">
                  <c:v>38261</c:v>
                </c:pt>
                <c:pt idx="69">
                  <c:v>38353</c:v>
                </c:pt>
                <c:pt idx="70">
                  <c:v>38443</c:v>
                </c:pt>
                <c:pt idx="71">
                  <c:v>38534</c:v>
                </c:pt>
                <c:pt idx="72">
                  <c:v>38626</c:v>
                </c:pt>
                <c:pt idx="73">
                  <c:v>38718</c:v>
                </c:pt>
                <c:pt idx="74">
                  <c:v>38808</c:v>
                </c:pt>
                <c:pt idx="75">
                  <c:v>38899</c:v>
                </c:pt>
                <c:pt idx="76">
                  <c:v>38991</c:v>
                </c:pt>
              </c:numCache>
            </c:numRef>
          </c:cat>
          <c:val>
            <c:numRef>
              <c:f>'Taylor Rule with Dummy'!$B$4:$B$80</c:f>
              <c:numCache>
                <c:formatCode>General</c:formatCode>
                <c:ptCount val="77"/>
                <c:pt idx="0">
                  <c:v>7.2900000000000006E-2</c:v>
                </c:pt>
                <c:pt idx="1">
                  <c:v>6.83E-2</c:v>
                </c:pt>
                <c:pt idx="2">
                  <c:v>6.8699999999999997E-2</c:v>
                </c:pt>
                <c:pt idx="3">
                  <c:v>7.7499999999999999E-2</c:v>
                </c:pt>
                <c:pt idx="4">
                  <c:v>8.3000000000000004E-2</c:v>
                </c:pt>
                <c:pt idx="5">
                  <c:v>9.1200000000000003E-2</c:v>
                </c:pt>
                <c:pt idx="6">
                  <c:v>9.8400000000000001E-2</c:v>
                </c:pt>
                <c:pt idx="7">
                  <c:v>9.2399999999999996E-2</c:v>
                </c:pt>
                <c:pt idx="8">
                  <c:v>8.8400000000000006E-2</c:v>
                </c:pt>
                <c:pt idx="9">
                  <c:v>8.2299999999999998E-2</c:v>
                </c:pt>
                <c:pt idx="10">
                  <c:v>8.2600000000000007E-2</c:v>
                </c:pt>
                <c:pt idx="11">
                  <c:v>8.1500000000000003E-2</c:v>
                </c:pt>
                <c:pt idx="12">
                  <c:v>8.1100000000000005E-2</c:v>
                </c:pt>
                <c:pt idx="13">
                  <c:v>6.9099999999999995E-2</c:v>
                </c:pt>
                <c:pt idx="14">
                  <c:v>5.91E-2</c:v>
                </c:pt>
                <c:pt idx="15">
                  <c:v>5.8200000000000002E-2</c:v>
                </c:pt>
                <c:pt idx="16">
                  <c:v>5.21E-2</c:v>
                </c:pt>
                <c:pt idx="17">
                  <c:v>4.0300000000000002E-2</c:v>
                </c:pt>
                <c:pt idx="18">
                  <c:v>3.73E-2</c:v>
                </c:pt>
                <c:pt idx="19">
                  <c:v>3.2500000000000001E-2</c:v>
                </c:pt>
                <c:pt idx="20">
                  <c:v>3.1E-2</c:v>
                </c:pt>
                <c:pt idx="21">
                  <c:v>3.0200000000000001E-2</c:v>
                </c:pt>
                <c:pt idx="22">
                  <c:v>2.9600000000000001E-2</c:v>
                </c:pt>
                <c:pt idx="23">
                  <c:v>3.0599999999999999E-2</c:v>
                </c:pt>
                <c:pt idx="24">
                  <c:v>2.9899999999999999E-2</c:v>
                </c:pt>
                <c:pt idx="25">
                  <c:v>3.0499999999999999E-2</c:v>
                </c:pt>
                <c:pt idx="26">
                  <c:v>3.56E-2</c:v>
                </c:pt>
                <c:pt idx="27">
                  <c:v>4.2599999999999999E-2</c:v>
                </c:pt>
                <c:pt idx="28">
                  <c:v>4.7600000000000003E-2</c:v>
                </c:pt>
                <c:pt idx="29">
                  <c:v>5.5300000000000002E-2</c:v>
                </c:pt>
                <c:pt idx="30">
                  <c:v>6.0499999999999998E-2</c:v>
                </c:pt>
                <c:pt idx="31">
                  <c:v>5.8500000000000003E-2</c:v>
                </c:pt>
                <c:pt idx="32">
                  <c:v>5.7599999999999998E-2</c:v>
                </c:pt>
                <c:pt idx="33">
                  <c:v>5.5599999999999997E-2</c:v>
                </c:pt>
                <c:pt idx="34">
                  <c:v>5.2200000000000003E-2</c:v>
                </c:pt>
                <c:pt idx="35">
                  <c:v>5.3999999999999999E-2</c:v>
                </c:pt>
                <c:pt idx="36">
                  <c:v>5.2400000000000002E-2</c:v>
                </c:pt>
                <c:pt idx="37">
                  <c:v>5.2499999999999998E-2</c:v>
                </c:pt>
                <c:pt idx="38">
                  <c:v>5.5100000000000003E-2</c:v>
                </c:pt>
                <c:pt idx="39">
                  <c:v>5.5199999999999999E-2</c:v>
                </c:pt>
                <c:pt idx="40">
                  <c:v>5.5E-2</c:v>
                </c:pt>
                <c:pt idx="41">
                  <c:v>5.5599999999999997E-2</c:v>
                </c:pt>
                <c:pt idx="42">
                  <c:v>5.45E-2</c:v>
                </c:pt>
                <c:pt idx="43">
                  <c:v>5.5399999999999998E-2</c:v>
                </c:pt>
                <c:pt idx="44">
                  <c:v>5.0700000000000002E-2</c:v>
                </c:pt>
                <c:pt idx="45">
                  <c:v>4.6300000000000001E-2</c:v>
                </c:pt>
                <c:pt idx="46">
                  <c:v>4.7399999999999998E-2</c:v>
                </c:pt>
                <c:pt idx="47">
                  <c:v>4.99E-2</c:v>
                </c:pt>
                <c:pt idx="48">
                  <c:v>5.1999999999999998E-2</c:v>
                </c:pt>
                <c:pt idx="49">
                  <c:v>5.45E-2</c:v>
                </c:pt>
                <c:pt idx="50">
                  <c:v>6.0199999999999997E-2</c:v>
                </c:pt>
                <c:pt idx="51">
                  <c:v>6.54E-2</c:v>
                </c:pt>
                <c:pt idx="52">
                  <c:v>6.5100000000000005E-2</c:v>
                </c:pt>
                <c:pt idx="53">
                  <c:v>5.9799999999999999E-2</c:v>
                </c:pt>
                <c:pt idx="54">
                  <c:v>4.8000000000000001E-2</c:v>
                </c:pt>
                <c:pt idx="55">
                  <c:v>3.7699999999999997E-2</c:v>
                </c:pt>
                <c:pt idx="56">
                  <c:v>2.4899999999999999E-2</c:v>
                </c:pt>
                <c:pt idx="57">
                  <c:v>1.7299999999999999E-2</c:v>
                </c:pt>
                <c:pt idx="58">
                  <c:v>1.7500000000000002E-2</c:v>
                </c:pt>
                <c:pt idx="59">
                  <c:v>1.7299999999999999E-2</c:v>
                </c:pt>
                <c:pt idx="60">
                  <c:v>1.7500000000000002E-2</c:v>
                </c:pt>
                <c:pt idx="61">
                  <c:v>1.24E-2</c:v>
                </c:pt>
                <c:pt idx="62">
                  <c:v>1.26E-2</c:v>
                </c:pt>
                <c:pt idx="63">
                  <c:v>1.01E-2</c:v>
                </c:pt>
                <c:pt idx="64">
                  <c:v>1.01E-2</c:v>
                </c:pt>
                <c:pt idx="65">
                  <c:v>0.01</c:v>
                </c:pt>
                <c:pt idx="66">
                  <c:v>0.01</c:v>
                </c:pt>
                <c:pt idx="67">
                  <c:v>1.26E-2</c:v>
                </c:pt>
                <c:pt idx="68">
                  <c:v>1.7600000000000001E-2</c:v>
                </c:pt>
                <c:pt idx="69">
                  <c:v>2.2800000000000001E-2</c:v>
                </c:pt>
                <c:pt idx="70">
                  <c:v>2.7900000000000001E-2</c:v>
                </c:pt>
                <c:pt idx="71">
                  <c:v>3.2599999999999997E-2</c:v>
                </c:pt>
                <c:pt idx="72">
                  <c:v>3.78E-2</c:v>
                </c:pt>
                <c:pt idx="73">
                  <c:v>4.2900000000000001E-2</c:v>
                </c:pt>
                <c:pt idx="74">
                  <c:v>4.7899999999999998E-2</c:v>
                </c:pt>
                <c:pt idx="75">
                  <c:v>6.1464017188872559E-2</c:v>
                </c:pt>
                <c:pt idx="76">
                  <c:v>5.2499999999999998E-2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5-4B44-8D87-C62F6A1F09FF}"/>
            </c:ext>
          </c:extLst>
        </c:ser>
        <c:ser>
          <c:idx val="1"/>
          <c:order val="1"/>
          <c:tx>
            <c:strRef>
              <c:f>'Taylor Rule with Dummy'!$P$3</c:f>
              <c:strCache>
                <c:ptCount val="1"/>
                <c:pt idx="0">
                  <c:v>Fitted Fed Fund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'Taylor Rule with Dummy'!$A$4:$A$80</c:f>
              <c:numCache>
                <c:formatCode>yyyy\-mm\-dd</c:formatCode>
                <c:ptCount val="77"/>
                <c:pt idx="0">
                  <c:v>32051</c:v>
                </c:pt>
                <c:pt idx="1">
                  <c:v>32143</c:v>
                </c:pt>
                <c:pt idx="2">
                  <c:v>32234</c:v>
                </c:pt>
                <c:pt idx="3">
                  <c:v>32325</c:v>
                </c:pt>
                <c:pt idx="4">
                  <c:v>32417</c:v>
                </c:pt>
                <c:pt idx="5">
                  <c:v>32509</c:v>
                </c:pt>
                <c:pt idx="6">
                  <c:v>32599</c:v>
                </c:pt>
                <c:pt idx="7">
                  <c:v>32690</c:v>
                </c:pt>
                <c:pt idx="8">
                  <c:v>32782</c:v>
                </c:pt>
                <c:pt idx="9">
                  <c:v>32874</c:v>
                </c:pt>
                <c:pt idx="10">
                  <c:v>32964</c:v>
                </c:pt>
                <c:pt idx="11">
                  <c:v>33055</c:v>
                </c:pt>
                <c:pt idx="12">
                  <c:v>33147</c:v>
                </c:pt>
                <c:pt idx="13">
                  <c:v>33239</c:v>
                </c:pt>
                <c:pt idx="14">
                  <c:v>33329</c:v>
                </c:pt>
                <c:pt idx="15">
                  <c:v>33420</c:v>
                </c:pt>
                <c:pt idx="16">
                  <c:v>33512</c:v>
                </c:pt>
                <c:pt idx="17">
                  <c:v>33604</c:v>
                </c:pt>
                <c:pt idx="18">
                  <c:v>33695</c:v>
                </c:pt>
                <c:pt idx="19">
                  <c:v>33786</c:v>
                </c:pt>
                <c:pt idx="20">
                  <c:v>33878</c:v>
                </c:pt>
                <c:pt idx="21">
                  <c:v>33970</c:v>
                </c:pt>
                <c:pt idx="22">
                  <c:v>34060</c:v>
                </c:pt>
                <c:pt idx="23">
                  <c:v>34151</c:v>
                </c:pt>
                <c:pt idx="24">
                  <c:v>34243</c:v>
                </c:pt>
                <c:pt idx="25">
                  <c:v>34335</c:v>
                </c:pt>
                <c:pt idx="26">
                  <c:v>34425</c:v>
                </c:pt>
                <c:pt idx="27">
                  <c:v>34516</c:v>
                </c:pt>
                <c:pt idx="28">
                  <c:v>34608</c:v>
                </c:pt>
                <c:pt idx="29">
                  <c:v>34700</c:v>
                </c:pt>
                <c:pt idx="30">
                  <c:v>34790</c:v>
                </c:pt>
                <c:pt idx="31">
                  <c:v>34881</c:v>
                </c:pt>
                <c:pt idx="32">
                  <c:v>34973</c:v>
                </c:pt>
                <c:pt idx="33">
                  <c:v>35065</c:v>
                </c:pt>
                <c:pt idx="34">
                  <c:v>35156</c:v>
                </c:pt>
                <c:pt idx="35">
                  <c:v>35247</c:v>
                </c:pt>
                <c:pt idx="36">
                  <c:v>35339</c:v>
                </c:pt>
                <c:pt idx="37">
                  <c:v>35431</c:v>
                </c:pt>
                <c:pt idx="38">
                  <c:v>35521</c:v>
                </c:pt>
                <c:pt idx="39">
                  <c:v>35612</c:v>
                </c:pt>
                <c:pt idx="40">
                  <c:v>35704</c:v>
                </c:pt>
                <c:pt idx="41">
                  <c:v>35796</c:v>
                </c:pt>
                <c:pt idx="42">
                  <c:v>35886</c:v>
                </c:pt>
                <c:pt idx="43">
                  <c:v>35977</c:v>
                </c:pt>
                <c:pt idx="44">
                  <c:v>36069</c:v>
                </c:pt>
                <c:pt idx="45">
                  <c:v>36161</c:v>
                </c:pt>
                <c:pt idx="46">
                  <c:v>36251</c:v>
                </c:pt>
                <c:pt idx="47">
                  <c:v>36342</c:v>
                </c:pt>
                <c:pt idx="48">
                  <c:v>36434</c:v>
                </c:pt>
                <c:pt idx="49">
                  <c:v>36526</c:v>
                </c:pt>
                <c:pt idx="50">
                  <c:v>36617</c:v>
                </c:pt>
                <c:pt idx="51">
                  <c:v>36708</c:v>
                </c:pt>
                <c:pt idx="52">
                  <c:v>36800</c:v>
                </c:pt>
                <c:pt idx="53">
                  <c:v>36892</c:v>
                </c:pt>
                <c:pt idx="54">
                  <c:v>36982</c:v>
                </c:pt>
                <c:pt idx="55">
                  <c:v>37073</c:v>
                </c:pt>
                <c:pt idx="56">
                  <c:v>37165</c:v>
                </c:pt>
                <c:pt idx="57">
                  <c:v>37257</c:v>
                </c:pt>
                <c:pt idx="58">
                  <c:v>37347</c:v>
                </c:pt>
                <c:pt idx="59">
                  <c:v>37438</c:v>
                </c:pt>
                <c:pt idx="60">
                  <c:v>37530</c:v>
                </c:pt>
                <c:pt idx="61">
                  <c:v>37622</c:v>
                </c:pt>
                <c:pt idx="62">
                  <c:v>37712</c:v>
                </c:pt>
                <c:pt idx="63">
                  <c:v>37803</c:v>
                </c:pt>
                <c:pt idx="64">
                  <c:v>37895</c:v>
                </c:pt>
                <c:pt idx="65">
                  <c:v>37987</c:v>
                </c:pt>
                <c:pt idx="66">
                  <c:v>38078</c:v>
                </c:pt>
                <c:pt idx="67">
                  <c:v>38169</c:v>
                </c:pt>
                <c:pt idx="68">
                  <c:v>38261</c:v>
                </c:pt>
                <c:pt idx="69">
                  <c:v>38353</c:v>
                </c:pt>
                <c:pt idx="70">
                  <c:v>38443</c:v>
                </c:pt>
                <c:pt idx="71">
                  <c:v>38534</c:v>
                </c:pt>
                <c:pt idx="72">
                  <c:v>38626</c:v>
                </c:pt>
                <c:pt idx="73">
                  <c:v>38718</c:v>
                </c:pt>
                <c:pt idx="74">
                  <c:v>38808</c:v>
                </c:pt>
                <c:pt idx="75">
                  <c:v>38899</c:v>
                </c:pt>
                <c:pt idx="76">
                  <c:v>38991</c:v>
                </c:pt>
              </c:numCache>
            </c:numRef>
          </c:cat>
          <c:val>
            <c:numRef>
              <c:f>'Taylor Rule with Dummy'!$P$4:$P$80</c:f>
              <c:numCache>
                <c:formatCode>General</c:formatCode>
                <c:ptCount val="77"/>
                <c:pt idx="0">
                  <c:v>6.8808559153876847E-2</c:v>
                </c:pt>
                <c:pt idx="1">
                  <c:v>6.737252433592375E-2</c:v>
                </c:pt>
                <c:pt idx="2">
                  <c:v>6.834350754382594E-2</c:v>
                </c:pt>
                <c:pt idx="3">
                  <c:v>7.0008616224810319E-2</c:v>
                </c:pt>
                <c:pt idx="4">
                  <c:v>7.4223336505564494E-2</c:v>
                </c:pt>
                <c:pt idx="5">
                  <c:v>7.8230477572788157E-2</c:v>
                </c:pt>
                <c:pt idx="6">
                  <c:v>8.492449595485109E-2</c:v>
                </c:pt>
                <c:pt idx="7">
                  <c:v>8.5278535671774E-2</c:v>
                </c:pt>
                <c:pt idx="8">
                  <c:v>7.6871416845672891E-2</c:v>
                </c:pt>
                <c:pt idx="9">
                  <c:v>8.5600975320131625E-2</c:v>
                </c:pt>
                <c:pt idx="10">
                  <c:v>7.9695710557792218E-2</c:v>
                </c:pt>
                <c:pt idx="11">
                  <c:v>7.5749752017872984E-2</c:v>
                </c:pt>
                <c:pt idx="12">
                  <c:v>8.9439920538506593E-2</c:v>
                </c:pt>
                <c:pt idx="13">
                  <c:v>7.3980264488890946E-2</c:v>
                </c:pt>
                <c:pt idx="14">
                  <c:v>6.119044036604504E-2</c:v>
                </c:pt>
                <c:pt idx="15">
                  <c:v>5.4509618215012143E-2</c:v>
                </c:pt>
                <c:pt idx="16">
                  <c:v>3.3438495486771663E-2</c:v>
                </c:pt>
                <c:pt idx="17">
                  <c:v>2.7362328619261467E-2</c:v>
                </c:pt>
                <c:pt idx="18">
                  <c:v>3.0930251086332197E-2</c:v>
                </c:pt>
                <c:pt idx="19">
                  <c:v>3.0618167011551581E-2</c:v>
                </c:pt>
                <c:pt idx="20">
                  <c:v>3.4735090021544138E-2</c:v>
                </c:pt>
                <c:pt idx="21">
                  <c:v>3.8358145485924949E-2</c:v>
                </c:pt>
                <c:pt idx="22">
                  <c:v>3.7175502779654368E-2</c:v>
                </c:pt>
                <c:pt idx="23">
                  <c:v>3.7358835633920368E-2</c:v>
                </c:pt>
                <c:pt idx="24">
                  <c:v>3.8835853139678161E-2</c:v>
                </c:pt>
                <c:pt idx="25">
                  <c:v>3.5177706917335849E-2</c:v>
                </c:pt>
                <c:pt idx="26">
                  <c:v>3.9379531904532417E-2</c:v>
                </c:pt>
                <c:pt idx="27">
                  <c:v>4.6067916487401481E-2</c:v>
                </c:pt>
                <c:pt idx="28">
                  <c:v>5.0239554545384799E-2</c:v>
                </c:pt>
                <c:pt idx="29">
                  <c:v>5.4720597632823317E-2</c:v>
                </c:pt>
                <c:pt idx="30">
                  <c:v>5.5180080010814453E-2</c:v>
                </c:pt>
                <c:pt idx="31">
                  <c:v>5.1600870835581708E-2</c:v>
                </c:pt>
                <c:pt idx="32">
                  <c:v>5.1871510072413266E-2</c:v>
                </c:pt>
                <c:pt idx="33">
                  <c:v>5.3747938478921051E-2</c:v>
                </c:pt>
                <c:pt idx="34">
                  <c:v>5.4257566453479719E-2</c:v>
                </c:pt>
                <c:pt idx="35">
                  <c:v>5.7499378534955445E-2</c:v>
                </c:pt>
                <c:pt idx="36">
                  <c:v>5.9666903152704912E-2</c:v>
                </c:pt>
                <c:pt idx="37">
                  <c:v>6.0691808508615233E-2</c:v>
                </c:pt>
                <c:pt idx="38">
                  <c:v>5.5987766000764452E-2</c:v>
                </c:pt>
                <c:pt idx="39">
                  <c:v>5.403843665106034E-2</c:v>
                </c:pt>
                <c:pt idx="40">
                  <c:v>5.5698092993467542E-2</c:v>
                </c:pt>
                <c:pt idx="41">
                  <c:v>5.1489158047489603E-2</c:v>
                </c:pt>
                <c:pt idx="42">
                  <c:v>5.1775949940121982E-2</c:v>
                </c:pt>
                <c:pt idx="43">
                  <c:v>5.419275659873702E-2</c:v>
                </c:pt>
                <c:pt idx="44">
                  <c:v>5.2354685257670092E-2</c:v>
                </c:pt>
                <c:pt idx="45">
                  <c:v>5.5860531676490341E-2</c:v>
                </c:pt>
                <c:pt idx="46">
                  <c:v>6.3320586298755546E-2</c:v>
                </c:pt>
                <c:pt idx="47">
                  <c:v>6.297631897367835E-2</c:v>
                </c:pt>
                <c:pt idx="48">
                  <c:v>6.9363533448824066E-2</c:v>
                </c:pt>
                <c:pt idx="49">
                  <c:v>4.7102957297506479E-2</c:v>
                </c:pt>
                <c:pt idx="50">
                  <c:v>5.109817411381655E-2</c:v>
                </c:pt>
                <c:pt idx="51">
                  <c:v>5.6892267886777717E-2</c:v>
                </c:pt>
                <c:pt idx="52">
                  <c:v>5.6397135659443334E-2</c:v>
                </c:pt>
                <c:pt idx="53">
                  <c:v>5.5746002581689991E-2</c:v>
                </c:pt>
                <c:pt idx="54">
                  <c:v>4.7013349754195952E-2</c:v>
                </c:pt>
                <c:pt idx="55">
                  <c:v>3.5729147018706803E-2</c:v>
                </c:pt>
                <c:pt idx="56">
                  <c:v>1.9326933132313057E-2</c:v>
                </c:pt>
                <c:pt idx="57">
                  <c:v>5.3882226467928708E-3</c:v>
                </c:pt>
                <c:pt idx="58">
                  <c:v>9.5150952915938232E-3</c:v>
                </c:pt>
                <c:pt idx="59">
                  <c:v>8.6627413381634051E-3</c:v>
                </c:pt>
                <c:pt idx="60">
                  <c:v>1.2852155429624468E-2</c:v>
                </c:pt>
                <c:pt idx="61">
                  <c:v>1.9670426696323687E-2</c:v>
                </c:pt>
                <c:pt idx="62">
                  <c:v>1.2700771198778358E-2</c:v>
                </c:pt>
                <c:pt idx="63">
                  <c:v>1.1246477981279705E-2</c:v>
                </c:pt>
                <c:pt idx="64">
                  <c:v>1.4346498249100063E-2</c:v>
                </c:pt>
                <c:pt idx="65">
                  <c:v>1.4844196887159603E-2</c:v>
                </c:pt>
                <c:pt idx="66">
                  <c:v>2.0000693131097747E-2</c:v>
                </c:pt>
                <c:pt idx="67">
                  <c:v>3.1138519290585965E-2</c:v>
                </c:pt>
                <c:pt idx="68">
                  <c:v>3.354881992786117E-2</c:v>
                </c:pt>
                <c:pt idx="69">
                  <c:v>3.1388308112717395E-2</c:v>
                </c:pt>
                <c:pt idx="70">
                  <c:v>4.0188914033643428E-2</c:v>
                </c:pt>
                <c:pt idx="71">
                  <c:v>3.7260053439071086E-2</c:v>
                </c:pt>
                <c:pt idx="72">
                  <c:v>5.3511516039682724E-2</c:v>
                </c:pt>
                <c:pt idx="73">
                  <c:v>5.286910280209807E-2</c:v>
                </c:pt>
                <c:pt idx="74">
                  <c:v>4.851805261522564E-2</c:v>
                </c:pt>
                <c:pt idx="75">
                  <c:v>5.5719680841012018E-2</c:v>
                </c:pt>
                <c:pt idx="76">
                  <c:v>2.3787803792612184E-2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05-4B44-8D87-C62F6A1F0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216864"/>
        <c:axId val="1064206304"/>
      </c:lineChart>
      <c:dateAx>
        <c:axId val="1064216864"/>
        <c:scaling>
          <c:orientation val="minMax"/>
        </c:scaling>
        <c:delete val="0"/>
        <c:axPos val="b"/>
        <c:numFmt formatCode="yyyy\-mm\-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206304"/>
        <c:crosses val="autoZero"/>
        <c:auto val="1"/>
        <c:lblOffset val="100"/>
        <c:baseTimeUnit val="months"/>
      </c:dateAx>
      <c:valAx>
        <c:axId val="106420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21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746625731381757"/>
          <c:y val="0.12116516110332837"/>
          <c:w val="0.36220238983674291"/>
          <c:h val="6.9018887976426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4</xdr:row>
          <xdr:rowOff>40133</xdr:rowOff>
        </xdr:from>
        <xdr:to>
          <xdr:col>3</xdr:col>
          <xdr:colOff>6350</xdr:colOff>
          <xdr:row>5</xdr:row>
          <xdr:rowOff>59993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6</xdr:row>
          <xdr:rowOff>19870</xdr:rowOff>
        </xdr:from>
        <xdr:to>
          <xdr:col>3</xdr:col>
          <xdr:colOff>6350</xdr:colOff>
          <xdr:row>7</xdr:row>
          <xdr:rowOff>45270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7</xdr:row>
          <xdr:rowOff>195886</xdr:rowOff>
        </xdr:from>
        <xdr:to>
          <xdr:col>3</xdr:col>
          <xdr:colOff>6350</xdr:colOff>
          <xdr:row>8</xdr:row>
          <xdr:rowOff>202236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0</xdr:rowOff>
        </xdr:from>
        <xdr:to>
          <xdr:col>3</xdr:col>
          <xdr:colOff>0</xdr:colOff>
          <xdr:row>10</xdr:row>
          <xdr:rowOff>190500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0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12</xdr:row>
          <xdr:rowOff>0</xdr:rowOff>
        </xdr:from>
        <xdr:to>
          <xdr:col>3</xdr:col>
          <xdr:colOff>6350</xdr:colOff>
          <xdr:row>13</xdr:row>
          <xdr:rowOff>25400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14</xdr:row>
          <xdr:rowOff>0</xdr:rowOff>
        </xdr:from>
        <xdr:to>
          <xdr:col>3</xdr:col>
          <xdr:colOff>0</xdr:colOff>
          <xdr:row>15</xdr:row>
          <xdr:rowOff>44450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0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0</xdr:rowOff>
        </xdr:from>
        <xdr:to>
          <xdr:col>6</xdr:col>
          <xdr:colOff>0</xdr:colOff>
          <xdr:row>5</xdr:row>
          <xdr:rowOff>25400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0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6</xdr:row>
          <xdr:rowOff>0</xdr:rowOff>
        </xdr:from>
        <xdr:to>
          <xdr:col>6</xdr:col>
          <xdr:colOff>0</xdr:colOff>
          <xdr:row>7</xdr:row>
          <xdr:rowOff>6350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0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8</xdr:row>
          <xdr:rowOff>0</xdr:rowOff>
        </xdr:from>
        <xdr:to>
          <xdr:col>6</xdr:col>
          <xdr:colOff>0</xdr:colOff>
          <xdr:row>9</xdr:row>
          <xdr:rowOff>6350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0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10</xdr:row>
          <xdr:rowOff>0</xdr:rowOff>
        </xdr:from>
        <xdr:to>
          <xdr:col>6</xdr:col>
          <xdr:colOff>0</xdr:colOff>
          <xdr:row>11</xdr:row>
          <xdr:rowOff>6350</xdr:rowOff>
        </xdr:to>
        <xdr:sp macro="" textlink="">
          <xdr:nvSpPr>
            <xdr:cNvPr id="15387" name="Button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0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7055</xdr:colOff>
      <xdr:row>14</xdr:row>
      <xdr:rowOff>7057</xdr:rowOff>
    </xdr:from>
    <xdr:to>
      <xdr:col>4</xdr:col>
      <xdr:colOff>0</xdr:colOff>
      <xdr:row>14</xdr:row>
      <xdr:rowOff>169335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63C9AF34-269C-157E-0ECB-B09DC6465D4B}"/>
            </a:ext>
          </a:extLst>
        </xdr:cNvPr>
        <xdr:cNvSpPr/>
      </xdr:nvSpPr>
      <xdr:spPr>
        <a:xfrm>
          <a:off x="3598333" y="3365501"/>
          <a:ext cx="1178278" cy="162278"/>
        </a:xfrm>
        <a:prstGeom prst="leftArrow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11288</xdr:colOff>
      <xdr:row>18</xdr:row>
      <xdr:rowOff>39511</xdr:rowOff>
    </xdr:from>
    <xdr:to>
      <xdr:col>4</xdr:col>
      <xdr:colOff>4233</xdr:colOff>
      <xdr:row>19</xdr:row>
      <xdr:rowOff>4234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236339F0-BC1C-4982-9F88-80683221E578}"/>
            </a:ext>
          </a:extLst>
        </xdr:cNvPr>
        <xdr:cNvSpPr/>
      </xdr:nvSpPr>
      <xdr:spPr>
        <a:xfrm>
          <a:off x="3602566" y="4188178"/>
          <a:ext cx="1178278" cy="162278"/>
        </a:xfrm>
        <a:prstGeom prst="leftArrow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0</xdr:row>
          <xdr:rowOff>69850</xdr:rowOff>
        </xdr:from>
        <xdr:to>
          <xdr:col>0</xdr:col>
          <xdr:colOff>933450</xdr:colOff>
          <xdr:row>0</xdr:row>
          <xdr:rowOff>571500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101600</xdr:rowOff>
        </xdr:from>
        <xdr:to>
          <xdr:col>0</xdr:col>
          <xdr:colOff>996950</xdr:colOff>
          <xdr:row>0</xdr:row>
          <xdr:rowOff>660400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785186</xdr:colOff>
      <xdr:row>3</xdr:row>
      <xdr:rowOff>194310</xdr:rowOff>
    </xdr:from>
    <xdr:to>
      <xdr:col>11</xdr:col>
      <xdr:colOff>12290</xdr:colOff>
      <xdr:row>14</xdr:row>
      <xdr:rowOff>42994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ACBA2E-12F7-455F-94F5-BA52493D0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21194</xdr:colOff>
      <xdr:row>4</xdr:row>
      <xdr:rowOff>12301</xdr:rowOff>
    </xdr:from>
    <xdr:to>
      <xdr:col>13</xdr:col>
      <xdr:colOff>3873500</xdr:colOff>
      <xdr:row>17</xdr:row>
      <xdr:rowOff>116419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110328-9623-B666-1B82-8321701FA4D4}"/>
            </a:ext>
          </a:extLst>
        </xdr:cNvPr>
        <xdr:cNvSpPr txBox="1"/>
      </xdr:nvSpPr>
      <xdr:spPr>
        <a:xfrm>
          <a:off x="6977972" y="1197634"/>
          <a:ext cx="4854195" cy="2672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Accordint to</a:t>
          </a:r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sensitivyty analysis  , the following affects have been identified regarding with Bond Price. </a:t>
          </a:r>
        </a:p>
        <a:p>
          <a:endParaRPr lang="en-US" sz="12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Graph ( a) </a:t>
          </a: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Increasing yield-&gt; Decrease Bond Price </a:t>
          </a:r>
        </a:p>
        <a:p>
          <a:endParaRPr lang="en-US" sz="12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Graph (b) </a:t>
          </a: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ncreasing Coupon Rate --&gt;</a:t>
          </a:r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Increases Bond Price</a:t>
          </a:r>
        </a:p>
        <a:p>
          <a:endParaRPr lang="en-US" sz="1200" b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Graph (c) </a:t>
          </a:r>
        </a:p>
        <a:p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Increasing Time</a:t>
          </a:r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to Maturity --&gt;  Increase Bond Price </a:t>
          </a:r>
        </a:p>
        <a:p>
          <a:endParaRPr lang="en-US" sz="12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32845</xdr:colOff>
      <xdr:row>20</xdr:row>
      <xdr:rowOff>142329</xdr:rowOff>
    </xdr:from>
    <xdr:to>
      <xdr:col>10</xdr:col>
      <xdr:colOff>591206</xdr:colOff>
      <xdr:row>31</xdr:row>
      <xdr:rowOff>43793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EA38BB-82FD-C576-76F0-5FA0DDE23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5991</xdr:colOff>
      <xdr:row>32</xdr:row>
      <xdr:rowOff>137782</xdr:rowOff>
    </xdr:from>
    <xdr:to>
      <xdr:col>11</xdr:col>
      <xdr:colOff>5990</xdr:colOff>
      <xdr:row>40</xdr:row>
      <xdr:rowOff>155755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9CEE165-ADF7-4F8F-9014-027888A96A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69850</xdr:rowOff>
        </xdr:from>
        <xdr:to>
          <xdr:col>0</xdr:col>
          <xdr:colOff>876300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5320</xdr:colOff>
      <xdr:row>3</xdr:row>
      <xdr:rowOff>77145</xdr:rowOff>
    </xdr:from>
    <xdr:to>
      <xdr:col>11</xdr:col>
      <xdr:colOff>574997</xdr:colOff>
      <xdr:row>20</xdr:row>
      <xdr:rowOff>77146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D26A7C-81B9-4493-8240-0BBA46647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69850</xdr:rowOff>
        </xdr:from>
        <xdr:to>
          <xdr:col>1</xdr:col>
          <xdr:colOff>31750</xdr:colOff>
          <xdr:row>0</xdr:row>
          <xdr:rowOff>755650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24902</xdr:colOff>
      <xdr:row>4</xdr:row>
      <xdr:rowOff>10085</xdr:rowOff>
    </xdr:from>
    <xdr:to>
      <xdr:col>10</xdr:col>
      <xdr:colOff>554069</xdr:colOff>
      <xdr:row>11</xdr:row>
      <xdr:rowOff>126004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0F036-F822-4B40-8A2D-FBA28A2D41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44561</xdr:colOff>
      <xdr:row>13</xdr:row>
      <xdr:rowOff>11140</xdr:rowOff>
    </xdr:from>
    <xdr:to>
      <xdr:col>10</xdr:col>
      <xdr:colOff>601579</xdr:colOff>
      <xdr:row>22</xdr:row>
      <xdr:rowOff>50132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2D032D-A3EC-A2F5-F169-CB09182AC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598364</xdr:colOff>
      <xdr:row>25</xdr:row>
      <xdr:rowOff>24423</xdr:rowOff>
    </xdr:from>
    <xdr:to>
      <xdr:col>11</xdr:col>
      <xdr:colOff>6106</xdr:colOff>
      <xdr:row>33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420ADA-C61B-DE30-E384-178740D58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19050</xdr:colOff>
      <xdr:row>3</xdr:row>
      <xdr:rowOff>190500</xdr:rowOff>
    </xdr:from>
    <xdr:to>
      <xdr:col>13</xdr:col>
      <xdr:colOff>12700</xdr:colOff>
      <xdr:row>17</xdr:row>
      <xdr:rowOff>97063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9E11DC3-074B-4304-B708-5DC3AF16A963}"/>
            </a:ext>
          </a:extLst>
        </xdr:cNvPr>
        <xdr:cNvSpPr txBox="1"/>
      </xdr:nvSpPr>
      <xdr:spPr>
        <a:xfrm>
          <a:off x="6724650" y="1041400"/>
          <a:ext cx="4514850" cy="26624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Accordint to</a:t>
          </a:r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sensitivyty analysis  , the following affects have been identified regarding with bond Duration. </a:t>
          </a:r>
        </a:p>
        <a:p>
          <a:endParaRPr lang="en-US" sz="12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Graph ( e) </a:t>
          </a: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Increasing Time to Maturity &gt; Increase Duration </a:t>
          </a:r>
        </a:p>
        <a:p>
          <a:endParaRPr lang="en-US" sz="12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Graph (f) </a:t>
          </a:r>
        </a:p>
        <a:p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ncreasing Coupon Rate --&gt;</a:t>
          </a:r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Decrease Duration </a:t>
          </a:r>
        </a:p>
        <a:p>
          <a:endParaRPr lang="en-US" sz="1200" b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Graph (g) </a:t>
          </a:r>
        </a:p>
        <a:p>
          <a:r>
            <a:rPr lang="en-US" sz="1200" b="0">
              <a:latin typeface="Times New Roman" panose="02020603050405020304" pitchFamily="18" charset="0"/>
              <a:cs typeface="Times New Roman" panose="02020603050405020304" pitchFamily="18" charset="0"/>
            </a:rPr>
            <a:t>Increasing Yield</a:t>
          </a:r>
          <a:r>
            <a:rPr lang="en-US" sz="12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--&gt;  Decrease Duration </a:t>
          </a:r>
        </a:p>
        <a:p>
          <a:endParaRPr lang="en-US" sz="12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38100</xdr:colOff>
      <xdr:row>4</xdr:row>
      <xdr:rowOff>6350</xdr:rowOff>
    </xdr:from>
    <xdr:to>
      <xdr:col>13</xdr:col>
      <xdr:colOff>5645150</xdr:colOff>
      <xdr:row>32</xdr:row>
      <xdr:rowOff>146050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E153B45-93FD-4445-AFB5-15DABC8E528C}"/>
            </a:ext>
          </a:extLst>
        </xdr:cNvPr>
        <xdr:cNvSpPr txBox="1"/>
      </xdr:nvSpPr>
      <xdr:spPr>
        <a:xfrm>
          <a:off x="11264900" y="1054100"/>
          <a:ext cx="5607050" cy="565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Duration is a key measure of interest rate risk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 fixed income securities. It estimates how much a bond’s price will change in response to changes in interest rates.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Higher Duration = Greater Sensitivity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Bonds with longer durations are more sensitive to interest rate changes. For example, if a bond has a duration of 5 years, a 1% increase in interest rates would lead to approximately a 5% drop in bond price.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Helps Manage Risk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Investors and portfolio managers use duration to manage and hedge interest rate risk. By adjusting the duration of a portfolio, they can control how vulnerable it is to rate changes. For instance, reducing portfolio duration can protect against rising interest rates.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Duration Matching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Institutions (e.g., pension funds) match the duration of assets and liabilities to minimize interest rate risk, ensuring they have the funds available when liabilities come due.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 summary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duration is crucial for understanding how a bond will react to interest rate changes. It allows investors to measure and manage interest rate exposure, making it a powerful tool in bond investing and risk management.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0</xdr:row>
          <xdr:rowOff>76200</xdr:rowOff>
        </xdr:from>
        <xdr:to>
          <xdr:col>1</xdr:col>
          <xdr:colOff>69850</xdr:colOff>
          <xdr:row>0</xdr:row>
          <xdr:rowOff>850900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63500</xdr:rowOff>
        </xdr:from>
        <xdr:to>
          <xdr:col>0</xdr:col>
          <xdr:colOff>882650</xdr:colOff>
          <xdr:row>0</xdr:row>
          <xdr:rowOff>577850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6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26813</xdr:colOff>
      <xdr:row>5</xdr:row>
      <xdr:rowOff>15022</xdr:rowOff>
    </xdr:from>
    <xdr:to>
      <xdr:col>11</xdr:col>
      <xdr:colOff>28223</xdr:colOff>
      <xdr:row>9</xdr:row>
      <xdr:rowOff>62363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9F4356-57BB-99FF-86EC-DED579621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939800</xdr:colOff>
          <xdr:row>0</xdr:row>
          <xdr:rowOff>603250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25398</xdr:colOff>
      <xdr:row>5</xdr:row>
      <xdr:rowOff>198915</xdr:rowOff>
    </xdr:from>
    <xdr:to>
      <xdr:col>11</xdr:col>
      <xdr:colOff>986926</xdr:colOff>
      <xdr:row>21</xdr:row>
      <xdr:rowOff>107107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684102-98FA-DEEC-0684-0ECCD620F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566586</xdr:colOff>
      <xdr:row>42</xdr:row>
      <xdr:rowOff>120627</xdr:rowOff>
    </xdr:from>
    <xdr:to>
      <xdr:col>12</xdr:col>
      <xdr:colOff>95849</xdr:colOff>
      <xdr:row>64</xdr:row>
      <xdr:rowOff>135929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BAD02D-B1F2-25A2-5BF3-3AFFF3104D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602103</xdr:colOff>
      <xdr:row>28</xdr:row>
      <xdr:rowOff>169996</xdr:rowOff>
    </xdr:from>
    <xdr:to>
      <xdr:col>12</xdr:col>
      <xdr:colOff>1</xdr:colOff>
      <xdr:row>41</xdr:row>
      <xdr:rowOff>76506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66EE6A-363A-78D7-B8D2-D174AA938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18870</xdr:colOff>
      <xdr:row>5</xdr:row>
      <xdr:rowOff>181744</xdr:rowOff>
    </xdr:from>
    <xdr:to>
      <xdr:col>16</xdr:col>
      <xdr:colOff>2398888</xdr:colOff>
      <xdr:row>40</xdr:row>
      <xdr:rowOff>91722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43D6D64-A9FF-3E70-5E18-1369E6B959E7}"/>
            </a:ext>
          </a:extLst>
        </xdr:cNvPr>
        <xdr:cNvSpPr txBox="1"/>
      </xdr:nvSpPr>
      <xdr:spPr>
        <a:xfrm>
          <a:off x="9924870" y="1677522"/>
          <a:ext cx="7220129" cy="68244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Interpretation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</a:p>
        <a:p>
          <a:pPr algn="l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Graph (a) When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futures price increases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call option price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increases. This is expected, as the likelihood of the call option finishing in-the-money improves when the futures price moves further above the strike price.</a:t>
          </a:r>
        </a:p>
        <a:p>
          <a:pPr algn="l"/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Graph (b) As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volatility increases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call option price increases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even if the futures price remains the same. This happens because options become more valuable when there is greater uncertainty about future price movements.</a:t>
          </a:r>
        </a:p>
        <a:p>
          <a:pPr algn="l"/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Graph (c) This graph demonstrates the relationship between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futures price (F)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volatility (</a:t>
          </a:r>
          <a:r>
            <a:rPr lang="el-GR" sz="1200" b="1">
              <a:latin typeface="Times New Roman" panose="02020603050405020304" pitchFamily="18" charset="0"/>
              <a:cs typeface="Times New Roman" panose="02020603050405020304" pitchFamily="18" charset="0"/>
            </a:rPr>
            <a:t>σ)</a:t>
          </a:r>
          <a:r>
            <a:rPr lang="el-GR" sz="1200">
              <a:latin typeface="Times New Roman" panose="02020603050405020304" pitchFamily="18" charset="0"/>
              <a:cs typeface="Times New Roman" panose="02020603050405020304" pitchFamily="18" charset="0"/>
            </a:rPr>
            <a:t>,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and the resulting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Black Call option price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 Both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futures price (F)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and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volatility (</a:t>
          </a:r>
          <a:r>
            <a:rPr lang="el-GR" sz="1200" b="1">
              <a:latin typeface="Times New Roman" panose="02020603050405020304" pitchFamily="18" charset="0"/>
              <a:cs typeface="Times New Roman" panose="02020603050405020304" pitchFamily="18" charset="0"/>
            </a:rPr>
            <a:t>σ)</a:t>
          </a:r>
          <a:r>
            <a:rPr lang="el-GR" sz="1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independently affect the option price. As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increases, the call option price increases, reflecting the higher probability that the option will finish in-the-money. Additionally, as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volatility (</a:t>
          </a:r>
          <a:r>
            <a:rPr lang="el-GR" sz="1200" b="1">
              <a:latin typeface="Times New Roman" panose="02020603050405020304" pitchFamily="18" charset="0"/>
              <a:cs typeface="Times New Roman" panose="02020603050405020304" pitchFamily="18" charset="0"/>
            </a:rPr>
            <a:t>σ)</a:t>
          </a:r>
          <a:r>
            <a:rPr lang="el-GR" sz="1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rises, the call option price increases due to the greater uncertainty regarding future price movements, enhancing the potential payoff of the option.</a:t>
          </a:r>
        </a:p>
        <a:p>
          <a:pPr algn="l"/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Hedging Interest Rate Risk with Options on Bond Futures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Options on bond futures allow investors to protect themselves from changes in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interest rates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by using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bond futures contracts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as a tool. </a:t>
          </a: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Bond Futures and Interest Rates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: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There is an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inverse relationship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between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interest rates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and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bond prices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 When interest rates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rise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bond prices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fall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and when interest rates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fall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bond prices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rise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Call Options on Bond Futures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:</a:t>
          </a:r>
        </a:p>
        <a:p>
          <a:pPr lvl="1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call option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gives the holder the right (but not the obligation) to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buy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 bond futures contract at a set price (strike price) before a specific expiration date.</a:t>
          </a:r>
        </a:p>
        <a:p>
          <a:pPr lvl="1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If interest rates are expected to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fall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bond prices will rise, making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futures price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go up. 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call option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on bond futures allows investors to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benefit from this price increase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thus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hedging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against falling interest rates.</a:t>
          </a: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Put Options on Bond Futures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:</a:t>
          </a:r>
        </a:p>
        <a:p>
          <a:pPr lvl="1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put option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gives the holder the right to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sell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 bond futures contract at a set price.</a:t>
          </a:r>
        </a:p>
        <a:p>
          <a:pPr lvl="1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If interest rates are expected to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rise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bond prices will fall, making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futures price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drop. 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put option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on bond futures allows investors to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profit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from this decline, thus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hedging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against rising interest rates.</a:t>
          </a: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How It Works in Practice: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If a portfolio manager holds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bonds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and expects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interest rates to rise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they can buy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put options on bond futures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 This protects them from losses as bond prices fall.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If the portfolio manager expects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interest rates to fall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they can buy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call options on bond futures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 This lets them benefit from rising bond prices.</a:t>
          </a:r>
        </a:p>
        <a:p>
          <a:pPr algn="l"/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12700</xdr:rowOff>
        </xdr:from>
        <xdr:to>
          <xdr:col>1</xdr:col>
          <xdr:colOff>304800</xdr:colOff>
          <xdr:row>0</xdr:row>
          <xdr:rowOff>787400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644071</xdr:colOff>
      <xdr:row>4</xdr:row>
      <xdr:rowOff>190500</xdr:rowOff>
    </xdr:from>
    <xdr:to>
      <xdr:col>11</xdr:col>
      <xdr:colOff>1070428</xdr:colOff>
      <xdr:row>5</xdr:row>
      <xdr:rowOff>63500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CA06EC32-A536-46C7-4987-B70DD4A5C9A1}"/>
            </a:ext>
          </a:extLst>
        </xdr:cNvPr>
        <xdr:cNvSpPr/>
      </xdr:nvSpPr>
      <xdr:spPr>
        <a:xfrm>
          <a:off x="9824357" y="2567214"/>
          <a:ext cx="426357" cy="263072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609600</xdr:colOff>
          <xdr:row>1</xdr:row>
          <xdr:rowOff>171450</xdr:rowOff>
        </xdr:from>
        <xdr:to>
          <xdr:col>35</xdr:col>
          <xdr:colOff>990600</xdr:colOff>
          <xdr:row>3</xdr:row>
          <xdr:rowOff>6350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9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108857</xdr:colOff>
      <xdr:row>0</xdr:row>
      <xdr:rowOff>172356</xdr:rowOff>
    </xdr:from>
    <xdr:to>
      <xdr:col>12</xdr:col>
      <xdr:colOff>426357</xdr:colOff>
      <xdr:row>2</xdr:row>
      <xdr:rowOff>299357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E250089F-348C-9D41-3449-3525243A0171}"/>
            </a:ext>
          </a:extLst>
        </xdr:cNvPr>
        <xdr:cNvSpPr/>
      </xdr:nvSpPr>
      <xdr:spPr>
        <a:xfrm>
          <a:off x="7211786" y="172356"/>
          <a:ext cx="925285" cy="489858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179614</xdr:colOff>
      <xdr:row>0</xdr:row>
      <xdr:rowOff>170542</xdr:rowOff>
    </xdr:from>
    <xdr:to>
      <xdr:col>24</xdr:col>
      <xdr:colOff>397328</xdr:colOff>
      <xdr:row>2</xdr:row>
      <xdr:rowOff>297543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68FE90D-96DB-49AA-A4D5-E7DDED2445D2}"/>
            </a:ext>
          </a:extLst>
        </xdr:cNvPr>
        <xdr:cNvSpPr/>
      </xdr:nvSpPr>
      <xdr:spPr>
        <a:xfrm>
          <a:off x="14712043" y="170542"/>
          <a:ext cx="925285" cy="489858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50800</xdr:colOff>
      <xdr:row>0</xdr:row>
      <xdr:rowOff>0</xdr:rowOff>
    </xdr:from>
    <xdr:to>
      <xdr:col>35</xdr:col>
      <xdr:colOff>976085</xdr:colOff>
      <xdr:row>2</xdr:row>
      <xdr:rowOff>127001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4B33A5-5A42-4A69-858B-F97E60FD93EE}"/>
            </a:ext>
          </a:extLst>
        </xdr:cNvPr>
        <xdr:cNvSpPr/>
      </xdr:nvSpPr>
      <xdr:spPr>
        <a:xfrm>
          <a:off x="21976443" y="0"/>
          <a:ext cx="925285" cy="489858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-1</xdr:colOff>
      <xdr:row>22</xdr:row>
      <xdr:rowOff>0</xdr:rowOff>
    </xdr:from>
    <xdr:to>
      <xdr:col>13</xdr:col>
      <xdr:colOff>575235</xdr:colOff>
      <xdr:row>37</xdr:row>
      <xdr:rowOff>58882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4A333A-248D-450A-8CD2-2221A6628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101600</xdr:colOff>
      <xdr:row>2</xdr:row>
      <xdr:rowOff>127000</xdr:rowOff>
    </xdr:from>
    <xdr:to>
      <xdr:col>16</xdr:col>
      <xdr:colOff>5454650</xdr:colOff>
      <xdr:row>31</xdr:row>
      <xdr:rowOff>31750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CCA73CA-0E59-2711-987B-DC7C54A93F5F}"/>
            </a:ext>
          </a:extLst>
        </xdr:cNvPr>
        <xdr:cNvSpPr txBox="1"/>
      </xdr:nvSpPr>
      <xdr:spPr>
        <a:xfrm>
          <a:off x="10198100" y="755650"/>
          <a:ext cx="5353050" cy="5454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Model Fit (R² = 0.56):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The model explains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56.4%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of the variation in the Fed Funds Rate.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While slightly lower than Q6.(iv)Sheet2 (R² = 0.60), it still reflects 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moderately strong fit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—suggesting inflation and unemployment together are good predictors of interest rate settings.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🔹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Inflation Coefficient (~1.44):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Highly statistically significant (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 &lt; 0.001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).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 1-point rise in inflation increases the Fed Funds Rate by ~1.44 percentage points.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This aligns with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Taylor Principle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(&gt;1), confirming that the Fed responds assertively to inflationary pressures.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🔹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Unemployment Coefficient (~-0.91):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Also statistically significant (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 &lt; 0.001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).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 1-point increase in unemployment corresponds to 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~0.91 percentage point decrease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 the policy rate, showing the Fed reacts strongly to labor market weakness.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Deviation Between Actual and Fitted Rates (2001–2006):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During this period,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actual Fed Funds Rate was consistently below the model’s predictions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with gaps ranging from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13% to nearly 73%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especially pronounced between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2002 and 2004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This supports the </a:t>
          </a: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argument that Greenspan deviated from the traditional Taylor Rule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, in that period.</a:t>
          </a:r>
          <a:endParaRPr lang="en-US" sz="12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31750</xdr:rowOff>
        </xdr:from>
        <xdr:to>
          <xdr:col>0</xdr:col>
          <xdr:colOff>914400</xdr:colOff>
          <xdr:row>0</xdr:row>
          <xdr:rowOff>539750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23</xdr:row>
      <xdr:rowOff>0</xdr:rowOff>
    </xdr:from>
    <xdr:to>
      <xdr:col>12</xdr:col>
      <xdr:colOff>670405</xdr:colOff>
      <xdr:row>40</xdr:row>
      <xdr:rowOff>62922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01FF1A-B3BC-48DA-A1F9-1BE2F3157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7299</xdr:colOff>
      <xdr:row>2</xdr:row>
      <xdr:rowOff>132772</xdr:rowOff>
    </xdr:from>
    <xdr:to>
      <xdr:col>18</xdr:col>
      <xdr:colOff>7299</xdr:colOff>
      <xdr:row>37</xdr:row>
      <xdr:rowOff>94885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EB3B2E1-4C06-EFDA-568E-931D0667EA83}"/>
            </a:ext>
          </a:extLst>
        </xdr:cNvPr>
        <xdr:cNvSpPr txBox="1"/>
      </xdr:nvSpPr>
      <xdr:spPr>
        <a:xfrm>
          <a:off x="12656207" y="548806"/>
          <a:ext cx="5371954" cy="64945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Model Fit (R² = 0.85):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This model explains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84.8%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of the variation in the Fed Funds Rate —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strongest explanatory power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among all four models.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The high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Adjusted R² (0.84)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and low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Standard Error (0.0088)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indicate an excellent fit and reliable predictions.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🔹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Inflation Coefficient (~1.21):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Highly significant (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 &lt; 0.001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).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 1-point increase in inflation results in 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~1.21 percentage point increase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 the Fed Funds Rate.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This confirms a strong and consistent inflation response above 1, in line with the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Taylor Principle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🔹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Unemployment Coefficient (~-1.31):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Also highly significant (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 &lt; 0.001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).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A 1-point increase in unemployment leads to a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~1.31 percentage point decrease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in the rate, showing an even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stronger reaction to labor market weakness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compared to Sheet 3.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🔹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Dummy Coefficient (~-0.0264):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Highly significant (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 &lt; 0.001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).</a:t>
          </a:r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During the dummy period (likely Greenspan era), the Fed Funds Rate was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~2.64 percentage points lower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than the model predicted—an even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larger deviation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than in previous models.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Key Insight:</a:t>
          </a: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This model provides the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clearest evidence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 that during the early 2000s (especially 2002–2004), the Fed kept interest rates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well below what a standard rule-based model would suggest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  <a:p>
          <a:b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The size and significance of the dummy coefficient reinforce the view that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Greenspan’s Fed actively deviated from the Taylor Rule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, contributing to unusually loose monetary policy.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82550</xdr:rowOff>
        </xdr:from>
        <xdr:to>
          <xdr:col>0</xdr:col>
          <xdr:colOff>901700</xdr:colOff>
          <xdr:row>0</xdr:row>
          <xdr:rowOff>654050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lab.research.google.com/drive/14a0CRqP0o4TSnR7F-iFQWh9PZP4qYCK9?usp=sharing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olab.research.google.com/drive/14a0CRqP0o4TSnR7F-iFQWh9PZP4qYCK9?usp=sharing" TargetMode="Externa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hyperlink" Target="https://colab.research.google.com/drive/1BPvYBnOHT7mfpe76LljwbRgFu7g4Q8ZM?usp=sharing" TargetMode="Externa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hyperlink" Target="https://colab.research.google.com/drive/1ijgVt_JSsbXT2OyHDRQ8WostEWxmqOXi?usp=sharing" TargetMode="Externa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hyperlink" Target="https://colab.research.google.com/drive/1JQMNMA6d6aGGGHwFngY7B0g5xoq9GTAP?usp=sharing" TargetMode="Externa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hyperlink" Target="https://colab.research.google.com/drive/1ZSnG46UNegpvEW_qRaeUPfGKrXB3syRn?usp=sharing" TargetMode="Externa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AB5B-3AEB-4058-9F2F-FA288B695A79}">
  <sheetPr codeName="Sheet4"/>
  <dimension ref="A1:H22"/>
  <sheetViews>
    <sheetView showGridLines="0" zoomScale="94" zoomScaleNormal="90" workbookViewId="0">
      <selection activeCell="E1" sqref="E1"/>
    </sheetView>
  </sheetViews>
  <sheetFormatPr defaultRowHeight="15.5" x14ac:dyDescent="0.35"/>
  <cols>
    <col min="1" max="1" width="2.08984375" style="2" customWidth="1"/>
    <col min="2" max="2" width="37.1796875" style="2" customWidth="1"/>
    <col min="3" max="3" width="10" style="2" customWidth="1"/>
    <col min="4" max="4" width="1.90625" style="2" customWidth="1"/>
    <col min="5" max="5" width="32.6328125" style="130" customWidth="1"/>
    <col min="6" max="6" width="10" style="2" customWidth="1"/>
    <col min="7" max="16384" width="8.7265625" style="2"/>
  </cols>
  <sheetData>
    <row r="1" spans="1:8" ht="16" thickBot="1" x14ac:dyDescent="0.4"/>
    <row r="2" spans="1:8" x14ac:dyDescent="0.35">
      <c r="A2" s="143" t="s">
        <v>2359</v>
      </c>
      <c r="B2" s="143"/>
      <c r="C2" s="143"/>
      <c r="D2" s="143"/>
      <c r="E2" s="143"/>
      <c r="F2" s="144"/>
    </row>
    <row r="3" spans="1:8" ht="28.5" customHeight="1" x14ac:dyDescent="0.35">
      <c r="A3" s="145"/>
      <c r="B3" s="145"/>
      <c r="C3" s="145"/>
      <c r="D3" s="145"/>
      <c r="E3" s="145"/>
      <c r="F3" s="146"/>
    </row>
    <row r="4" spans="1:8" x14ac:dyDescent="0.35">
      <c r="B4" s="105" t="s">
        <v>2357</v>
      </c>
      <c r="C4" s="105" t="s">
        <v>2350</v>
      </c>
      <c r="E4" s="105" t="s">
        <v>2358</v>
      </c>
      <c r="F4" s="129" t="s">
        <v>2350</v>
      </c>
      <c r="H4" s="105"/>
    </row>
    <row r="5" spans="1:8" x14ac:dyDescent="0.35">
      <c r="B5" s="66" t="s">
        <v>2348</v>
      </c>
      <c r="C5" s="131"/>
      <c r="E5" s="2" t="s">
        <v>2353</v>
      </c>
      <c r="F5" s="17"/>
    </row>
    <row r="6" spans="1:8" x14ac:dyDescent="0.35">
      <c r="C6" s="131"/>
      <c r="E6" s="140"/>
      <c r="F6" s="17"/>
    </row>
    <row r="7" spans="1:8" ht="16.5" customHeight="1" x14ac:dyDescent="0.35">
      <c r="B7" s="66" t="s">
        <v>2351</v>
      </c>
      <c r="C7" s="131"/>
      <c r="E7" s="2" t="s">
        <v>2355</v>
      </c>
      <c r="F7" s="17"/>
    </row>
    <row r="8" spans="1:8" ht="16.5" customHeight="1" x14ac:dyDescent="0.35">
      <c r="B8" s="66"/>
      <c r="C8" s="131"/>
      <c r="E8" s="2"/>
      <c r="F8" s="17"/>
    </row>
    <row r="9" spans="1:8" ht="16.5" customHeight="1" x14ac:dyDescent="0.35">
      <c r="B9" s="66" t="s">
        <v>2349</v>
      </c>
      <c r="C9" s="131"/>
      <c r="E9" s="147" t="s">
        <v>2354</v>
      </c>
      <c r="F9" s="17"/>
    </row>
    <row r="10" spans="1:8" ht="16.5" customHeight="1" x14ac:dyDescent="0.35">
      <c r="C10" s="131"/>
      <c r="E10" s="147"/>
      <c r="F10" s="17"/>
    </row>
    <row r="11" spans="1:8" ht="16.5" customHeight="1" x14ac:dyDescent="0.35">
      <c r="B11" s="66" t="s">
        <v>2349</v>
      </c>
      <c r="C11" s="131"/>
      <c r="E11" s="147"/>
      <c r="F11" s="17"/>
    </row>
    <row r="12" spans="1:8" ht="16.5" customHeight="1" x14ac:dyDescent="0.35">
      <c r="C12" s="131"/>
      <c r="E12" s="147"/>
      <c r="F12" s="17"/>
    </row>
    <row r="13" spans="1:8" ht="16.5" customHeight="1" x14ac:dyDescent="0.35">
      <c r="B13" s="66" t="s">
        <v>2349</v>
      </c>
      <c r="C13" s="131"/>
      <c r="E13" s="147"/>
      <c r="F13" s="17"/>
    </row>
    <row r="14" spans="1:8" ht="16.5" customHeight="1" x14ac:dyDescent="0.35">
      <c r="B14" s="66"/>
      <c r="C14" s="131"/>
      <c r="E14" s="147"/>
      <c r="F14" s="17"/>
    </row>
    <row r="15" spans="1:8" ht="16.5" customHeight="1" x14ac:dyDescent="0.35">
      <c r="B15" s="66" t="s">
        <v>2352</v>
      </c>
      <c r="E15" s="147"/>
      <c r="F15" s="17"/>
    </row>
    <row r="16" spans="1:8" ht="16.5" customHeight="1" x14ac:dyDescent="0.35">
      <c r="B16" s="66"/>
      <c r="F16" s="17"/>
    </row>
    <row r="17" spans="1:6" ht="16.5" customHeight="1" x14ac:dyDescent="0.35">
      <c r="B17" s="66"/>
      <c r="F17" s="17"/>
    </row>
    <row r="18" spans="1:6" ht="16.5" customHeight="1" x14ac:dyDescent="0.35">
      <c r="B18" s="66"/>
      <c r="F18" s="17"/>
    </row>
    <row r="19" spans="1:6" ht="16.5" customHeight="1" x14ac:dyDescent="0.35">
      <c r="B19" s="3"/>
      <c r="F19" s="17"/>
    </row>
    <row r="20" spans="1:6" ht="26.5" customHeight="1" thickBot="1" x14ac:dyDescent="0.4">
      <c r="B20" s="19"/>
      <c r="C20" s="19"/>
      <c r="F20" s="17"/>
    </row>
    <row r="21" spans="1:6" x14ac:dyDescent="0.35">
      <c r="F21" s="17"/>
    </row>
    <row r="22" spans="1:6" ht="16" thickBot="1" x14ac:dyDescent="0.4">
      <c r="A22" s="19"/>
      <c r="D22" s="19"/>
      <c r="E22" s="133"/>
      <c r="F22" s="20"/>
    </row>
  </sheetData>
  <mergeCells count="2">
    <mergeCell ref="A2:F3"/>
    <mergeCell ref="E9:E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9" r:id="rId3" name="Button 9">
              <controlPr defaultSize="0" print="0" autoFill="0" autoPict="0" macro="[0]!Bond_Price">
                <anchor moveWithCells="1" sizeWithCells="1">
                  <from>
                    <xdr:col>2</xdr:col>
                    <xdr:colOff>25400</xdr:colOff>
                    <xdr:row>4</xdr:row>
                    <xdr:rowOff>38100</xdr:rowOff>
                  </from>
                  <to>
                    <xdr:col>3</xdr:col>
                    <xdr:colOff>6350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4" name="Button 10">
              <controlPr defaultSize="0" print="0" autoFill="0" autoPict="0" macro="[0]!Bond_Duration">
                <anchor moveWithCells="1" sizeWithCells="1">
                  <from>
                    <xdr:col>2</xdr:col>
                    <xdr:colOff>12700</xdr:colOff>
                    <xdr:row>6</xdr:row>
                    <xdr:rowOff>19050</xdr:rowOff>
                  </from>
                  <to>
                    <xdr:col>3</xdr:col>
                    <xdr:colOff>6350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5" name="Button 11">
              <controlPr defaultSize="0" print="0" autoFill="0" autoPict="0" macro="[0]!Module1.BP_vs_r">
                <anchor moveWithCells="1">
                  <from>
                    <xdr:col>2</xdr:col>
                    <xdr:colOff>31750</xdr:colOff>
                    <xdr:row>7</xdr:row>
                    <xdr:rowOff>196850</xdr:rowOff>
                  </from>
                  <to>
                    <xdr:col>3</xdr:col>
                    <xdr:colOff>6350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6" name="Button 12">
              <controlPr defaultSize="0" print="0" autoFill="0" autoPict="0" macro="[0]!Module1.BP_vs_r_vs_T">
                <anchor moveWithCells="1">
                  <from>
                    <xdr:col>2</xdr:col>
                    <xdr:colOff>31750</xdr:colOff>
                    <xdr:row>10</xdr:row>
                    <xdr:rowOff>0</xdr:rowOff>
                  </from>
                  <to>
                    <xdr:col>3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Module1.Dur_vs_etc">
                <anchor moveWithCells="1">
                  <from>
                    <xdr:col>2</xdr:col>
                    <xdr:colOff>31750</xdr:colOff>
                    <xdr:row>12</xdr:row>
                    <xdr:rowOff>0</xdr:rowOff>
                  </from>
                  <to>
                    <xdr:col>3</xdr:col>
                    <xdr:colOff>6350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8" name="Button 15">
              <controlPr defaultSize="0" print="0" autoFill="0" autoPict="0" macro="[0]!Module1.YTM">
                <anchor moveWithCells="1">
                  <from>
                    <xdr:col>2</xdr:col>
                    <xdr:colOff>31750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9" name="Button 18">
              <controlPr defaultSize="0" print="0" autoFill="0" autoPict="0" macro="[0]!Black_1976">
                <anchor moveWithCells="1">
                  <from>
                    <xdr:col>5</xdr:col>
                    <xdr:colOff>31750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0" name="Button 19">
              <controlPr defaultSize="0" print="0" autoFill="0" autoPict="0" macro="[0]!Portfolio_for_10_Stocks">
                <anchor moveWithCells="1">
                  <from>
                    <xdr:col>5</xdr:col>
                    <xdr:colOff>31750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1" name="Button 20">
              <controlPr defaultSize="0" print="0" autoFill="0" autoPict="0" macro="[0]!Estimate_Taylor_Rule">
                <anchor moveWithCells="1">
                  <from>
                    <xdr:col>5</xdr:col>
                    <xdr:colOff>31750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2" name="Button 27">
              <controlPr defaultSize="0" print="0" autoFill="0" autoPict="0" macro="[0]!Taylor_Rule_with_Dummy">
                <anchor moveWithCells="1">
                  <from>
                    <xdr:col>5</xdr:col>
                    <xdr:colOff>31750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34F7-034C-4114-BA41-5E6C751B4211}">
  <sheetPr codeName="Sheet1"/>
  <dimension ref="A1:G24"/>
  <sheetViews>
    <sheetView showGridLines="0" zoomScale="90" zoomScaleNormal="100" zoomScaleSheetLayoutView="103" workbookViewId="0"/>
  </sheetViews>
  <sheetFormatPr defaultRowHeight="15.5" x14ac:dyDescent="0.35"/>
  <cols>
    <col min="1" max="1" width="22.1796875" style="2" customWidth="1"/>
    <col min="2" max="2" width="12.1796875" style="2" customWidth="1"/>
    <col min="3" max="5" width="17" style="2" customWidth="1"/>
    <col min="6" max="6" width="10.90625" style="2" customWidth="1"/>
    <col min="7" max="7" width="24" style="2" customWidth="1"/>
    <col min="8" max="16384" width="8.7265625" style="2"/>
  </cols>
  <sheetData>
    <row r="1" spans="1:7" ht="50.5" customHeight="1" thickBot="1" x14ac:dyDescent="0.4"/>
    <row r="2" spans="1:7" ht="45.5" customHeight="1" thickBot="1" x14ac:dyDescent="0.4">
      <c r="A2" s="151" t="s">
        <v>2361</v>
      </c>
      <c r="B2" s="152"/>
      <c r="C2" s="152"/>
      <c r="D2" s="152"/>
      <c r="E2" s="152"/>
      <c r="F2" s="152"/>
      <c r="G2" s="153"/>
    </row>
    <row r="3" spans="1:7" ht="32" customHeight="1" x14ac:dyDescent="0.35">
      <c r="A3" s="148" t="s">
        <v>23</v>
      </c>
      <c r="B3" s="149"/>
      <c r="C3" s="149"/>
      <c r="D3" s="149"/>
      <c r="E3" s="149"/>
      <c r="F3" s="149"/>
      <c r="G3" s="150"/>
    </row>
    <row r="4" spans="1:7" ht="30" customHeight="1" x14ac:dyDescent="0.35">
      <c r="A4" s="16"/>
      <c r="B4" s="65"/>
      <c r="C4" s="66" t="s">
        <v>22</v>
      </c>
      <c r="D4" s="66" t="s">
        <v>2347</v>
      </c>
      <c r="E4" s="66" t="s">
        <v>28</v>
      </c>
      <c r="F4" s="67" t="s">
        <v>2</v>
      </c>
      <c r="G4" s="128" t="s">
        <v>11</v>
      </c>
    </row>
    <row r="5" spans="1:7" ht="16" thickBot="1" x14ac:dyDescent="0.4">
      <c r="A5" s="18"/>
      <c r="B5" s="19"/>
      <c r="C5" s="90">
        <v>1000</v>
      </c>
      <c r="D5" s="90">
        <v>3</v>
      </c>
      <c r="E5" s="90">
        <v>5.6000000000000001E-2</v>
      </c>
      <c r="F5" s="90">
        <v>0.06</v>
      </c>
      <c r="G5" s="132">
        <v>1</v>
      </c>
    </row>
    <row r="6" spans="1:7" ht="16" thickBot="1" x14ac:dyDescent="0.4">
      <c r="A6" s="68"/>
      <c r="G6" s="17"/>
    </row>
    <row r="7" spans="1:7" x14ac:dyDescent="0.35">
      <c r="A7" s="21" t="s">
        <v>24</v>
      </c>
      <c r="B7" s="22"/>
      <c r="C7" s="22"/>
      <c r="D7" s="22"/>
      <c r="E7" s="22"/>
      <c r="F7" s="22"/>
      <c r="G7" s="23"/>
    </row>
    <row r="8" spans="1:7" x14ac:dyDescent="0.35">
      <c r="A8" s="24"/>
      <c r="G8" s="17"/>
    </row>
    <row r="9" spans="1:7" x14ac:dyDescent="0.35">
      <c r="A9" s="64" t="s">
        <v>21</v>
      </c>
      <c r="B9" s="2">
        <v>0</v>
      </c>
      <c r="C9" s="2">
        <v>1</v>
      </c>
      <c r="D9" s="2">
        <v>2</v>
      </c>
      <c r="E9" s="2">
        <v>3</v>
      </c>
      <c r="G9" s="17"/>
    </row>
    <row r="10" spans="1:7" x14ac:dyDescent="0.35">
      <c r="A10" s="64" t="s">
        <v>3</v>
      </c>
      <c r="C10" s="2">
        <f>$C$5*$F$5</f>
        <v>60</v>
      </c>
      <c r="D10" s="2">
        <f t="shared" ref="D10:E10" si="0">$C$5*$F$5</f>
        <v>60</v>
      </c>
      <c r="E10" s="2">
        <f t="shared" si="0"/>
        <v>60</v>
      </c>
      <c r="G10" s="17"/>
    </row>
    <row r="11" spans="1:7" x14ac:dyDescent="0.35">
      <c r="A11" s="64" t="s">
        <v>25</v>
      </c>
      <c r="E11" s="2">
        <f>C5</f>
        <v>1000</v>
      </c>
      <c r="G11" s="17"/>
    </row>
    <row r="12" spans="1:7" x14ac:dyDescent="0.35">
      <c r="A12" s="64" t="s">
        <v>4</v>
      </c>
      <c r="C12" s="2">
        <f>C10+C11</f>
        <v>60</v>
      </c>
      <c r="D12" s="2">
        <f t="shared" ref="D12:E12" si="1">D10+D11</f>
        <v>60</v>
      </c>
      <c r="E12" s="2">
        <f t="shared" si="1"/>
        <v>1060</v>
      </c>
      <c r="G12" s="17"/>
    </row>
    <row r="13" spans="1:7" x14ac:dyDescent="0.35">
      <c r="A13" s="24" t="s">
        <v>6</v>
      </c>
      <c r="C13" s="2">
        <f>1/(1+$E$5)^C9</f>
        <v>0.94696969696969691</v>
      </c>
      <c r="D13" s="2">
        <f>1/(1+$E$5)^D9</f>
        <v>0.89675160697887957</v>
      </c>
      <c r="E13" s="2">
        <f>1/(1+$E$5)^E9</f>
        <v>0.84919659751787835</v>
      </c>
      <c r="G13" s="17"/>
    </row>
    <row r="14" spans="1:7" x14ac:dyDescent="0.35">
      <c r="A14" s="24" t="s">
        <v>5</v>
      </c>
      <c r="C14" s="2">
        <f>C12*C13</f>
        <v>56.818181818181813</v>
      </c>
      <c r="D14" s="2">
        <f>D12*D13</f>
        <v>53.805096418732774</v>
      </c>
      <c r="E14" s="2">
        <f>E12*E13</f>
        <v>900.14839336895102</v>
      </c>
      <c r="G14" s="17"/>
    </row>
    <row r="15" spans="1:7" x14ac:dyDescent="0.35">
      <c r="A15" s="25" t="s">
        <v>7</v>
      </c>
      <c r="B15" s="4"/>
      <c r="C15" s="5">
        <f>SUM(C14:E14)</f>
        <v>1010.7716716058655</v>
      </c>
      <c r="E15" s="4" t="s">
        <v>2325</v>
      </c>
      <c r="G15" s="17"/>
    </row>
    <row r="16" spans="1:7" x14ac:dyDescent="0.35">
      <c r="A16" s="24"/>
      <c r="C16" s="6"/>
      <c r="G16" s="17"/>
    </row>
    <row r="17" spans="1:7" x14ac:dyDescent="0.35">
      <c r="A17" s="24" t="s">
        <v>8</v>
      </c>
      <c r="C17" s="6"/>
      <c r="G17" s="17"/>
    </row>
    <row r="18" spans="1:7" x14ac:dyDescent="0.35">
      <c r="A18" s="24"/>
      <c r="C18" s="6"/>
      <c r="G18" s="17"/>
    </row>
    <row r="19" spans="1:7" x14ac:dyDescent="0.35">
      <c r="A19" s="25" t="s">
        <v>7</v>
      </c>
      <c r="B19" s="4"/>
      <c r="C19" s="5">
        <f>PVBm(F5,E5,E9,C5,G5)</f>
        <v>1010.7716716058658</v>
      </c>
      <c r="E19" s="4" t="s">
        <v>2326</v>
      </c>
      <c r="G19" s="17"/>
    </row>
    <row r="20" spans="1:7" x14ac:dyDescent="0.35">
      <c r="A20" s="25"/>
      <c r="B20" s="4"/>
      <c r="C20" s="5"/>
      <c r="G20" s="17"/>
    </row>
    <row r="21" spans="1:7" ht="17.5" x14ac:dyDescent="0.35">
      <c r="A21" s="134" t="s">
        <v>26</v>
      </c>
      <c r="B21" s="4"/>
      <c r="C21" s="4"/>
      <c r="G21" s="17"/>
    </row>
    <row r="22" spans="1:7" x14ac:dyDescent="0.35">
      <c r="A22" s="26" t="s">
        <v>36</v>
      </c>
      <c r="G22" s="17"/>
    </row>
    <row r="23" spans="1:7" x14ac:dyDescent="0.35">
      <c r="A23" s="24"/>
      <c r="G23" s="17"/>
    </row>
    <row r="24" spans="1:7" ht="16" thickBot="1" x14ac:dyDescent="0.4">
      <c r="A24" s="18"/>
      <c r="B24" s="19"/>
      <c r="C24" s="19"/>
      <c r="D24" s="19"/>
      <c r="E24" s="19"/>
      <c r="F24" s="19"/>
      <c r="G24" s="20"/>
    </row>
  </sheetData>
  <mergeCells count="2">
    <mergeCell ref="A3:G3"/>
    <mergeCell ref="A2:G2"/>
  </mergeCells>
  <hyperlinks>
    <hyperlink ref="A22" r:id="rId1" xr:uid="{08649735-965D-4A1E-BDF3-0873CE4303EE}"/>
  </hyperlinks>
  <pageMargins left="0.25" right="0.25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Home">
                <anchor moveWithCells="1" sizeWithCells="1">
                  <from>
                    <xdr:col>0</xdr:col>
                    <xdr:colOff>69850</xdr:colOff>
                    <xdr:row>0</xdr:row>
                    <xdr:rowOff>69850</xdr:rowOff>
                  </from>
                  <to>
                    <xdr:col>0</xdr:col>
                    <xdr:colOff>933450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7294-108A-468B-A428-C93CA567CCEE}">
  <sheetPr codeName="Sheet6"/>
  <dimension ref="A1:J18"/>
  <sheetViews>
    <sheetView showGridLines="0" zoomScale="90" zoomScaleNormal="110" zoomScaleSheetLayoutView="95" workbookViewId="0"/>
  </sheetViews>
  <sheetFormatPr defaultRowHeight="14" x14ac:dyDescent="0.3"/>
  <cols>
    <col min="1" max="1" width="24.36328125" style="1" customWidth="1"/>
    <col min="2" max="3" width="11.1796875" style="1" customWidth="1"/>
    <col min="4" max="4" width="1.81640625" style="1" customWidth="1"/>
    <col min="5" max="9" width="8.7265625" style="1"/>
    <col min="10" max="10" width="8.7265625" style="1" customWidth="1"/>
    <col min="11" max="16384" width="8.7265625" style="1"/>
  </cols>
  <sheetData>
    <row r="1" spans="1:10" ht="58.5" customHeight="1" thickBot="1" x14ac:dyDescent="0.35"/>
    <row r="2" spans="1:10" ht="31" customHeight="1" x14ac:dyDescent="0.3">
      <c r="A2" s="151" t="s">
        <v>2360</v>
      </c>
      <c r="B2" s="152"/>
      <c r="C2" s="152"/>
      <c r="D2" s="152"/>
      <c r="E2" s="152"/>
      <c r="F2" s="152"/>
      <c r="G2" s="152"/>
      <c r="H2" s="152"/>
      <c r="I2" s="152"/>
      <c r="J2" s="153"/>
    </row>
    <row r="3" spans="1:10" ht="35" customHeight="1" x14ac:dyDescent="0.3">
      <c r="A3" s="154" t="s">
        <v>34</v>
      </c>
      <c r="B3" s="155"/>
      <c r="C3" s="156"/>
      <c r="D3" s="43"/>
      <c r="E3" s="157" t="s">
        <v>2325</v>
      </c>
      <c r="F3" s="155"/>
      <c r="G3" s="155"/>
      <c r="H3" s="155"/>
      <c r="I3" s="155"/>
      <c r="J3" s="158"/>
    </row>
    <row r="4" spans="1:10" x14ac:dyDescent="0.3">
      <c r="A4" s="27" t="s">
        <v>15</v>
      </c>
      <c r="C4" s="10"/>
      <c r="E4" s="9"/>
      <c r="J4" s="28"/>
    </row>
    <row r="5" spans="1:10" x14ac:dyDescent="0.3">
      <c r="A5" s="27"/>
      <c r="C5" s="10"/>
      <c r="E5" s="9"/>
      <c r="J5" s="28"/>
    </row>
    <row r="6" spans="1:10" x14ac:dyDescent="0.3">
      <c r="A6" s="27"/>
      <c r="C6" s="10"/>
      <c r="E6" s="9" t="s">
        <v>16</v>
      </c>
      <c r="F6" s="1" t="s">
        <v>4</v>
      </c>
      <c r="G6" s="1" t="s">
        <v>17</v>
      </c>
      <c r="H6" s="1" t="s">
        <v>18</v>
      </c>
      <c r="I6" s="1" t="s">
        <v>19</v>
      </c>
      <c r="J6" s="28"/>
    </row>
    <row r="7" spans="1:10" ht="15.5" x14ac:dyDescent="0.35">
      <c r="A7" s="27" t="s">
        <v>51</v>
      </c>
      <c r="B7" s="1">
        <v>0.06</v>
      </c>
      <c r="C7" s="11">
        <v>0.06</v>
      </c>
      <c r="E7" s="9">
        <v>1</v>
      </c>
      <c r="F7" s="1">
        <f>$B$7*$B$10</f>
        <v>60</v>
      </c>
      <c r="G7" s="1">
        <f>(1+$B$8)^(-E7)</f>
        <v>0.95238095238095233</v>
      </c>
      <c r="H7" s="1">
        <f>F7*G7</f>
        <v>57.142857142857139</v>
      </c>
      <c r="I7" s="1">
        <f>H7*E7</f>
        <v>57.142857142857139</v>
      </c>
      <c r="J7" s="28"/>
    </row>
    <row r="8" spans="1:10" ht="15.5" x14ac:dyDescent="0.35">
      <c r="A8" s="27" t="s">
        <v>54</v>
      </c>
      <c r="B8" s="1">
        <v>0.05</v>
      </c>
      <c r="C8" s="11">
        <v>0.05</v>
      </c>
      <c r="E8" s="9">
        <v>2</v>
      </c>
      <c r="F8" s="1">
        <f>$B$7*$B$10</f>
        <v>60</v>
      </c>
      <c r="G8" s="1">
        <f>(1+$B$8)^(-E8)</f>
        <v>0.90702947845804982</v>
      </c>
      <c r="H8" s="1">
        <f t="shared" ref="H8" si="0">F8*G8</f>
        <v>54.42176870748299</v>
      </c>
      <c r="I8" s="1">
        <f>H8*E8</f>
        <v>108.84353741496598</v>
      </c>
      <c r="J8" s="28"/>
    </row>
    <row r="9" spans="1:10" ht="15.5" x14ac:dyDescent="0.35">
      <c r="A9" s="27" t="s">
        <v>52</v>
      </c>
      <c r="B9" s="1">
        <v>3</v>
      </c>
      <c r="C9" s="11">
        <v>3</v>
      </c>
      <c r="E9" s="9">
        <v>3</v>
      </c>
      <c r="F9" s="1">
        <f>$B$7*$B$10 + B10</f>
        <v>1060</v>
      </c>
      <c r="G9" s="1">
        <f>(1+$B$8)^(-E9)</f>
        <v>0.86383759853147601</v>
      </c>
      <c r="H9" s="1">
        <f>F9*G9</f>
        <v>915.6678544433646</v>
      </c>
      <c r="I9" s="1">
        <f>H9*E9</f>
        <v>2747.003563330094</v>
      </c>
      <c r="J9" s="28"/>
    </row>
    <row r="10" spans="1:10" ht="15.5" x14ac:dyDescent="0.35">
      <c r="A10" s="27" t="s">
        <v>22</v>
      </c>
      <c r="B10" s="1">
        <v>1000</v>
      </c>
      <c r="C10" s="11">
        <v>1000</v>
      </c>
      <c r="E10" s="9"/>
      <c r="J10" s="28"/>
    </row>
    <row r="11" spans="1:10" x14ac:dyDescent="0.3">
      <c r="A11" s="27" t="s">
        <v>53</v>
      </c>
      <c r="B11" s="1">
        <v>1</v>
      </c>
      <c r="C11" s="10"/>
      <c r="E11" s="9"/>
      <c r="H11" s="1">
        <f>SUM(H7:H9)</f>
        <v>1027.2324802937046</v>
      </c>
      <c r="I11" s="1">
        <f>SUM(I7:I9)</f>
        <v>2912.9899578879172</v>
      </c>
      <c r="J11" s="28"/>
    </row>
    <row r="12" spans="1:10" x14ac:dyDescent="0.3">
      <c r="A12" s="27"/>
      <c r="C12" s="10"/>
      <c r="E12" s="9"/>
      <c r="J12" s="28"/>
    </row>
    <row r="13" spans="1:10" x14ac:dyDescent="0.3">
      <c r="A13" s="27" t="s">
        <v>35</v>
      </c>
      <c r="B13" s="45">
        <f>PVBmDur(B7,B8,B9,B10,B11)</f>
        <v>2.8357650422570746</v>
      </c>
      <c r="C13" s="10"/>
      <c r="E13" s="9" t="s">
        <v>35</v>
      </c>
      <c r="F13" s="45">
        <f>I11/H11</f>
        <v>2.835765042257075</v>
      </c>
      <c r="J13" s="28"/>
    </row>
    <row r="14" spans="1:10" x14ac:dyDescent="0.3">
      <c r="A14" s="46"/>
      <c r="B14" s="13"/>
      <c r="C14" s="14"/>
      <c r="E14" s="12"/>
      <c r="F14" s="13"/>
      <c r="G14" s="13"/>
      <c r="H14" s="13"/>
      <c r="I14" s="13"/>
      <c r="J14" s="47"/>
    </row>
    <row r="15" spans="1:10" x14ac:dyDescent="0.3">
      <c r="A15" s="27"/>
      <c r="J15" s="28"/>
    </row>
    <row r="16" spans="1:10" x14ac:dyDescent="0.3">
      <c r="A16" s="136" t="s">
        <v>37</v>
      </c>
      <c r="B16" s="15"/>
      <c r="C16" s="15"/>
      <c r="D16" s="15"/>
      <c r="E16" s="15"/>
      <c r="F16" s="15"/>
      <c r="G16" s="15"/>
      <c r="H16" s="15"/>
      <c r="I16" s="15"/>
      <c r="J16" s="44"/>
    </row>
    <row r="17" spans="1:10" ht="14.5" x14ac:dyDescent="0.35">
      <c r="A17" s="26" t="s">
        <v>36</v>
      </c>
      <c r="J17" s="28"/>
    </row>
    <row r="18" spans="1:10" ht="14.5" thickBot="1" x14ac:dyDescent="0.35">
      <c r="A18" s="48"/>
      <c r="B18" s="30"/>
      <c r="C18" s="30"/>
      <c r="D18" s="30"/>
      <c r="E18" s="30"/>
      <c r="F18" s="30"/>
      <c r="G18" s="30"/>
      <c r="H18" s="30"/>
      <c r="I18" s="30"/>
      <c r="J18" s="31"/>
    </row>
  </sheetData>
  <mergeCells count="3">
    <mergeCell ref="A3:C3"/>
    <mergeCell ref="A2:J2"/>
    <mergeCell ref="E3:J3"/>
  </mergeCells>
  <hyperlinks>
    <hyperlink ref="A17" r:id="rId1" xr:uid="{6D61C8E1-DD41-45D9-95ED-942A5A607583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Home">
                <anchor moveWithCells="1" sizeWithCells="1">
                  <from>
                    <xdr:col>0</xdr:col>
                    <xdr:colOff>133350</xdr:colOff>
                    <xdr:row>0</xdr:row>
                    <xdr:rowOff>101600</xdr:rowOff>
                  </from>
                  <to>
                    <xdr:col>0</xdr:col>
                    <xdr:colOff>996950</xdr:colOff>
                    <xdr:row>0</xdr:row>
                    <xdr:rowOff>660400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CA9AF-C997-49DB-A9FB-FDFFFC08EA5B}">
  <sheetPr codeName="Sheet2"/>
  <dimension ref="A1:N59"/>
  <sheetViews>
    <sheetView showGridLines="0" zoomScale="90" zoomScaleNormal="90" workbookViewId="0"/>
  </sheetViews>
  <sheetFormatPr defaultRowHeight="14" x14ac:dyDescent="0.3"/>
  <cols>
    <col min="1" max="1" width="13.453125" style="1" customWidth="1"/>
    <col min="2" max="2" width="8.7265625" style="1"/>
    <col min="3" max="3" width="7.08984375" style="1" customWidth="1"/>
    <col min="4" max="5" width="8.7265625" style="1"/>
    <col min="6" max="6" width="3.08984375" style="1" customWidth="1"/>
    <col min="7" max="7" width="15.1796875" style="1" customWidth="1"/>
    <col min="8" max="11" width="8.7265625" style="1"/>
    <col min="12" max="12" width="3.08984375" style="1" customWidth="1"/>
    <col min="13" max="13" width="11.1796875" style="1" customWidth="1"/>
    <col min="14" max="14" width="56.08984375" style="1" customWidth="1"/>
    <col min="15" max="16384" width="8.7265625" style="1"/>
  </cols>
  <sheetData>
    <row r="1" spans="1:14" ht="49.5" customHeight="1" thickBot="1" x14ac:dyDescent="0.35"/>
    <row r="2" spans="1:14" ht="50" customHeight="1" thickBot="1" x14ac:dyDescent="0.35">
      <c r="A2" s="159" t="s">
        <v>2362</v>
      </c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1"/>
    </row>
    <row r="3" spans="1:14" ht="39" customHeight="1" x14ac:dyDescent="0.3">
      <c r="A3" s="164" t="s">
        <v>33</v>
      </c>
      <c r="B3" s="165"/>
      <c r="C3" s="165"/>
      <c r="D3" s="165"/>
      <c r="E3" s="165"/>
      <c r="F3" s="166" t="s">
        <v>31</v>
      </c>
      <c r="G3" s="166"/>
      <c r="H3" s="166"/>
      <c r="I3" s="166"/>
      <c r="J3" s="166"/>
      <c r="K3" s="166"/>
      <c r="L3" s="162" t="s">
        <v>32</v>
      </c>
      <c r="M3" s="162"/>
      <c r="N3" s="163"/>
    </row>
    <row r="4" spans="1:14" ht="15.5" x14ac:dyDescent="0.35">
      <c r="A4" s="49" t="s">
        <v>9</v>
      </c>
      <c r="B4" s="2"/>
      <c r="C4" s="2"/>
      <c r="D4" s="2"/>
      <c r="E4" s="2">
        <f>B12</f>
        <v>1010.7716716058658</v>
      </c>
      <c r="F4" s="2"/>
      <c r="G4" s="2"/>
      <c r="H4" s="2"/>
      <c r="I4" s="2"/>
      <c r="J4" s="2"/>
      <c r="K4" s="2"/>
      <c r="L4" s="2"/>
      <c r="M4" s="2"/>
      <c r="N4" s="50"/>
    </row>
    <row r="5" spans="1:14" ht="15.5" x14ac:dyDescent="0.35">
      <c r="A5" s="49"/>
      <c r="B5" s="2"/>
      <c r="C5" s="40"/>
      <c r="D5" s="2">
        <v>0.01</v>
      </c>
      <c r="E5" s="2">
        <f t="dataTable" ref="E5:E20" dt2D="0" dtr="0" r1="B7" ca="1"/>
        <v>1147.0492603617779</v>
      </c>
      <c r="F5" s="2"/>
      <c r="G5" s="2"/>
      <c r="H5" s="2"/>
      <c r="I5" s="2"/>
      <c r="J5" s="2"/>
      <c r="K5" s="2"/>
      <c r="L5" s="2"/>
      <c r="M5" s="2"/>
      <c r="N5" s="50"/>
    </row>
    <row r="6" spans="1:14" ht="15.5" x14ac:dyDescent="0.35">
      <c r="A6" s="51" t="s">
        <v>2</v>
      </c>
      <c r="B6" s="2">
        <v>0.06</v>
      </c>
      <c r="C6" s="40"/>
      <c r="D6" s="2">
        <v>0.02</v>
      </c>
      <c r="E6" s="2">
        <v>1115.3553309059109</v>
      </c>
      <c r="F6" s="2"/>
      <c r="G6" s="2"/>
      <c r="H6" s="2"/>
      <c r="I6" s="2"/>
      <c r="J6" s="2"/>
      <c r="K6" s="2"/>
      <c r="L6" s="2"/>
      <c r="M6" s="2"/>
      <c r="N6" s="50"/>
    </row>
    <row r="7" spans="1:14" ht="15.5" x14ac:dyDescent="0.35">
      <c r="A7" s="51" t="s">
        <v>1</v>
      </c>
      <c r="B7" s="2">
        <v>5.6000000000000001E-2</v>
      </c>
      <c r="C7" s="40"/>
      <c r="D7" s="2">
        <v>0.03</v>
      </c>
      <c r="E7" s="2">
        <v>1084.8583406468406</v>
      </c>
      <c r="F7" s="2"/>
      <c r="G7" s="2"/>
      <c r="H7" s="2"/>
      <c r="I7" s="2"/>
      <c r="J7" s="2"/>
      <c r="K7" s="2"/>
      <c r="L7" s="2"/>
      <c r="M7" s="2"/>
      <c r="N7" s="50"/>
    </row>
    <row r="8" spans="1:14" ht="15.5" x14ac:dyDescent="0.35">
      <c r="A8" s="51" t="s">
        <v>10</v>
      </c>
      <c r="B8" s="2">
        <v>3</v>
      </c>
      <c r="C8" s="52" t="s">
        <v>1</v>
      </c>
      <c r="D8" s="2">
        <v>0.04</v>
      </c>
      <c r="E8" s="2">
        <v>1055.5018206645427</v>
      </c>
      <c r="F8" s="2"/>
      <c r="G8" s="2"/>
      <c r="H8" s="2"/>
      <c r="I8" s="2"/>
      <c r="J8" s="2"/>
      <c r="K8" s="2"/>
      <c r="L8" s="2"/>
      <c r="M8" s="2"/>
      <c r="N8" s="50"/>
    </row>
    <row r="9" spans="1:14" ht="15.5" x14ac:dyDescent="0.35">
      <c r="A9" s="49" t="s">
        <v>22</v>
      </c>
      <c r="B9" s="2">
        <v>1000</v>
      </c>
      <c r="C9" s="40"/>
      <c r="D9" s="2">
        <v>0.05</v>
      </c>
      <c r="E9" s="2">
        <v>1027.2324802937048</v>
      </c>
      <c r="F9" s="2"/>
      <c r="G9" s="2"/>
      <c r="H9" s="2"/>
      <c r="I9" s="2"/>
      <c r="J9" s="2"/>
      <c r="K9" s="2"/>
      <c r="L9" s="2"/>
      <c r="M9" s="2"/>
      <c r="N9" s="50"/>
    </row>
    <row r="10" spans="1:14" ht="15.5" x14ac:dyDescent="0.35">
      <c r="A10" s="49" t="s">
        <v>11</v>
      </c>
      <c r="B10" s="2">
        <v>1</v>
      </c>
      <c r="C10" s="40"/>
      <c r="D10" s="2">
        <v>0.06</v>
      </c>
      <c r="E10" s="2">
        <v>1000</v>
      </c>
      <c r="F10" s="2"/>
      <c r="G10" s="2"/>
      <c r="H10" s="2"/>
      <c r="I10" s="2"/>
      <c r="J10" s="2"/>
      <c r="K10" s="2"/>
      <c r="L10" s="2"/>
      <c r="M10" s="2"/>
      <c r="N10" s="50"/>
    </row>
    <row r="11" spans="1:14" ht="15.5" x14ac:dyDescent="0.35">
      <c r="A11" s="49"/>
      <c r="B11" s="2"/>
      <c r="C11" s="40"/>
      <c r="D11" s="2">
        <v>7.0000000000000007E-2</v>
      </c>
      <c r="E11" s="2">
        <v>973.756839555836</v>
      </c>
      <c r="F11" s="2"/>
      <c r="G11" s="2"/>
      <c r="H11" s="2"/>
      <c r="I11" s="2"/>
      <c r="J11" s="2"/>
      <c r="K11" s="2"/>
      <c r="L11" s="2"/>
      <c r="M11" s="2"/>
      <c r="N11" s="50"/>
    </row>
    <row r="12" spans="1:14" ht="15.5" x14ac:dyDescent="0.35">
      <c r="A12" s="53" t="s">
        <v>27</v>
      </c>
      <c r="B12" s="54">
        <f>PVBm(B6,B7,B8,B9,B10)</f>
        <v>1010.7716716058658</v>
      </c>
      <c r="C12" s="40"/>
      <c r="D12" s="2">
        <v>0.08</v>
      </c>
      <c r="E12" s="2">
        <v>948.45806025504237</v>
      </c>
      <c r="F12" s="2"/>
      <c r="G12" s="2"/>
      <c r="H12" s="2"/>
      <c r="I12" s="2"/>
      <c r="J12" s="2"/>
      <c r="K12" s="2"/>
      <c r="L12" s="2"/>
      <c r="M12" s="2"/>
      <c r="N12" s="50"/>
    </row>
    <row r="13" spans="1:14" ht="15.5" x14ac:dyDescent="0.35">
      <c r="A13" s="49"/>
      <c r="B13" s="2"/>
      <c r="C13" s="40"/>
      <c r="D13" s="2">
        <v>0.09</v>
      </c>
      <c r="E13" s="2">
        <v>924.06116002035469</v>
      </c>
      <c r="F13" s="2"/>
      <c r="G13" s="2"/>
      <c r="H13" s="2"/>
      <c r="I13" s="2"/>
      <c r="J13" s="2"/>
      <c r="K13" s="2"/>
      <c r="L13" s="2"/>
      <c r="M13" s="2"/>
      <c r="N13" s="50"/>
    </row>
    <row r="14" spans="1:14" ht="15.5" x14ac:dyDescent="0.35">
      <c r="A14" s="49"/>
      <c r="B14" s="2"/>
      <c r="C14" s="40"/>
      <c r="D14" s="2">
        <v>0.1</v>
      </c>
      <c r="E14" s="2">
        <v>900.52592036063106</v>
      </c>
      <c r="F14" s="2"/>
      <c r="G14" s="2"/>
      <c r="H14" s="2"/>
      <c r="I14" s="2"/>
      <c r="J14" s="2"/>
      <c r="K14" s="2"/>
      <c r="L14" s="2"/>
      <c r="M14" s="2"/>
      <c r="N14" s="50"/>
    </row>
    <row r="15" spans="1:14" ht="15.5" x14ac:dyDescent="0.35">
      <c r="A15" s="49"/>
      <c r="B15" s="2"/>
      <c r="C15" s="40"/>
      <c r="D15" s="2">
        <v>0.11</v>
      </c>
      <c r="E15" s="2">
        <v>877.8142642277046</v>
      </c>
      <c r="F15" s="2"/>
      <c r="G15" s="2"/>
      <c r="H15" s="2"/>
      <c r="I15" s="2"/>
      <c r="J15" s="2"/>
      <c r="K15" s="2"/>
      <c r="L15" s="2"/>
      <c r="M15" s="2"/>
      <c r="N15" s="50"/>
    </row>
    <row r="16" spans="1:14" ht="15.5" x14ac:dyDescent="0.35">
      <c r="A16" s="49"/>
      <c r="B16" s="2"/>
      <c r="C16" s="40"/>
      <c r="D16" s="2">
        <v>0.12</v>
      </c>
      <c r="E16" s="2">
        <v>855.89012390670541</v>
      </c>
      <c r="F16" s="2"/>
      <c r="G16" s="2"/>
      <c r="H16" s="2"/>
      <c r="I16" s="2"/>
      <c r="J16" s="2"/>
      <c r="K16" s="2"/>
      <c r="L16" s="2"/>
      <c r="M16" s="2"/>
      <c r="N16" s="50"/>
    </row>
    <row r="17" spans="1:14" ht="15.5" x14ac:dyDescent="0.35">
      <c r="A17" s="49"/>
      <c r="B17" s="2"/>
      <c r="C17" s="40"/>
      <c r="D17" s="2">
        <v>0.13</v>
      </c>
      <c r="E17" s="2">
        <v>834.71931814952848</v>
      </c>
      <c r="F17" s="2"/>
      <c r="G17" s="2"/>
      <c r="H17" s="2"/>
      <c r="I17" s="2"/>
      <c r="J17" s="2"/>
      <c r="K17" s="2"/>
      <c r="L17" s="2"/>
      <c r="M17" s="2"/>
      <c r="N17" s="50"/>
    </row>
    <row r="18" spans="1:14" ht="15.5" x14ac:dyDescent="0.35">
      <c r="A18" s="49"/>
      <c r="B18" s="2"/>
      <c r="C18" s="40"/>
      <c r="D18" s="2">
        <v>0.14000000000000001</v>
      </c>
      <c r="E18" s="2">
        <v>814.26943782972342</v>
      </c>
      <c r="F18" s="2"/>
      <c r="G18" s="2"/>
      <c r="H18" s="2"/>
      <c r="I18" s="2"/>
      <c r="J18" s="2"/>
      <c r="K18" s="2"/>
      <c r="L18" s="2"/>
      <c r="M18" s="2"/>
      <c r="N18" s="50"/>
    </row>
    <row r="19" spans="1:14" ht="15.5" x14ac:dyDescent="0.35">
      <c r="A19" s="49"/>
      <c r="B19" s="2"/>
      <c r="C19" s="40"/>
      <c r="D19" s="2">
        <v>0.15</v>
      </c>
      <c r="E19" s="2">
        <v>794.50973945919304</v>
      </c>
      <c r="F19" s="2"/>
      <c r="G19" s="2"/>
      <c r="H19" s="2"/>
      <c r="I19" s="2"/>
      <c r="J19" s="2"/>
      <c r="K19" s="2"/>
      <c r="L19" s="2"/>
      <c r="M19" s="2"/>
      <c r="N19" s="50"/>
    </row>
    <row r="20" spans="1:14" ht="15.5" x14ac:dyDescent="0.35">
      <c r="A20" s="49"/>
      <c r="B20" s="2"/>
      <c r="C20" s="40"/>
      <c r="D20" s="2">
        <v>0.16</v>
      </c>
      <c r="E20" s="2">
        <v>775.41104596334424</v>
      </c>
      <c r="F20" s="2"/>
      <c r="G20" s="2"/>
      <c r="H20" s="2"/>
      <c r="I20" s="2"/>
      <c r="J20" s="2"/>
      <c r="K20" s="2"/>
      <c r="L20" s="2"/>
      <c r="M20" s="2"/>
      <c r="N20" s="50"/>
    </row>
    <row r="21" spans="1:14" x14ac:dyDescent="0.3">
      <c r="A21" s="55"/>
      <c r="N21" s="56"/>
    </row>
    <row r="22" spans="1:14" x14ac:dyDescent="0.3">
      <c r="A22" s="55"/>
      <c r="E22" s="1">
        <f>B12</f>
        <v>1010.7716716058658</v>
      </c>
      <c r="N22" s="56"/>
    </row>
    <row r="23" spans="1:14" x14ac:dyDescent="0.3">
      <c r="A23" s="55"/>
      <c r="C23" s="1" t="s">
        <v>29</v>
      </c>
      <c r="D23" s="1">
        <v>0.1</v>
      </c>
      <c r="E23" s="1">
        <f t="dataTable" ref="E23:E31" dt2D="0" dtr="0" r1="B6"/>
        <v>1118.488387664524</v>
      </c>
      <c r="N23" s="56"/>
    </row>
    <row r="24" spans="1:14" x14ac:dyDescent="0.3">
      <c r="A24" s="55"/>
      <c r="D24" s="1">
        <v>0.2</v>
      </c>
      <c r="E24" s="1">
        <v>1387.7801778111698</v>
      </c>
      <c r="N24" s="56"/>
    </row>
    <row r="25" spans="1:14" x14ac:dyDescent="0.3">
      <c r="A25" s="55"/>
      <c r="D25" s="1">
        <v>0.3</v>
      </c>
      <c r="E25" s="1">
        <v>1657.0719679578158</v>
      </c>
      <c r="N25" s="56"/>
    </row>
    <row r="26" spans="1:14" x14ac:dyDescent="0.3">
      <c r="A26" s="55"/>
      <c r="D26" s="1">
        <v>0.4</v>
      </c>
      <c r="E26" s="1">
        <v>1926.3637581044613</v>
      </c>
      <c r="N26" s="56"/>
    </row>
    <row r="27" spans="1:14" x14ac:dyDescent="0.3">
      <c r="A27" s="55"/>
      <c r="D27" s="1">
        <v>0.5</v>
      </c>
      <c r="E27" s="1">
        <v>2195.6555482511071</v>
      </c>
      <c r="N27" s="56"/>
    </row>
    <row r="28" spans="1:14" x14ac:dyDescent="0.3">
      <c r="A28" s="55"/>
      <c r="D28" s="1">
        <v>0.6</v>
      </c>
      <c r="E28" s="1">
        <v>2464.9473383977534</v>
      </c>
      <c r="N28" s="56"/>
    </row>
    <row r="29" spans="1:14" x14ac:dyDescent="0.3">
      <c r="A29" s="55"/>
      <c r="D29" s="1">
        <v>0.7</v>
      </c>
      <c r="E29" s="1">
        <v>2734.2391285443991</v>
      </c>
      <c r="N29" s="56"/>
    </row>
    <row r="30" spans="1:14" x14ac:dyDescent="0.3">
      <c r="A30" s="55"/>
      <c r="D30" s="1">
        <v>0.8</v>
      </c>
      <c r="E30" s="1">
        <v>3003.5309186910445</v>
      </c>
      <c r="N30" s="56"/>
    </row>
    <row r="31" spans="1:14" x14ac:dyDescent="0.3">
      <c r="A31" s="55"/>
      <c r="D31" s="1">
        <v>0.9</v>
      </c>
      <c r="E31" s="1">
        <v>3272.8227088376902</v>
      </c>
      <c r="N31" s="56"/>
    </row>
    <row r="32" spans="1:14" x14ac:dyDescent="0.3">
      <c r="A32" s="55"/>
      <c r="N32" s="56"/>
    </row>
    <row r="33" spans="1:14" x14ac:dyDescent="0.3">
      <c r="A33" s="55"/>
      <c r="E33" s="1">
        <f>B12</f>
        <v>1010.7716716058658</v>
      </c>
      <c r="N33" s="56"/>
    </row>
    <row r="34" spans="1:14" ht="15.5" x14ac:dyDescent="0.35">
      <c r="A34" s="55"/>
      <c r="D34" s="57">
        <v>1</v>
      </c>
      <c r="E34" s="1">
        <f t="dataTable" ref="E34:E40" dt2D="0" dtr="0" r1="B8" ca="1"/>
        <v>1003.7878787878788</v>
      </c>
      <c r="N34" s="56"/>
    </row>
    <row r="35" spans="1:14" ht="15.5" x14ac:dyDescent="0.35">
      <c r="A35" s="55"/>
      <c r="C35" s="1" t="s">
        <v>30</v>
      </c>
      <c r="D35" s="57">
        <v>3</v>
      </c>
      <c r="E35" s="1">
        <v>1010.7716716058658</v>
      </c>
      <c r="N35" s="56"/>
    </row>
    <row r="36" spans="1:14" ht="15.5" x14ac:dyDescent="0.35">
      <c r="A36" s="55"/>
      <c r="D36" s="57">
        <v>10</v>
      </c>
      <c r="E36" s="1">
        <v>1030.0064075681082</v>
      </c>
      <c r="N36" s="56"/>
    </row>
    <row r="37" spans="1:14" ht="15.5" x14ac:dyDescent="0.35">
      <c r="A37" s="55"/>
      <c r="D37" s="57">
        <v>15</v>
      </c>
      <c r="E37" s="1">
        <v>1039.8848309232578</v>
      </c>
      <c r="N37" s="56"/>
    </row>
    <row r="38" spans="1:14" ht="15.5" x14ac:dyDescent="0.35">
      <c r="A38" s="55"/>
      <c r="D38" s="57">
        <v>20</v>
      </c>
      <c r="E38" s="1">
        <v>1047.4074322042084</v>
      </c>
      <c r="N38" s="56"/>
    </row>
    <row r="39" spans="1:14" ht="15.5" x14ac:dyDescent="0.35">
      <c r="A39" s="55"/>
      <c r="D39" s="57">
        <v>25</v>
      </c>
      <c r="E39" s="1">
        <v>1053.1360315968091</v>
      </c>
      <c r="N39" s="56"/>
    </row>
    <row r="40" spans="1:14" ht="15.5" x14ac:dyDescent="0.35">
      <c r="A40" s="55"/>
      <c r="D40" s="57">
        <v>30</v>
      </c>
      <c r="E40" s="1">
        <v>1057.4984655176395</v>
      </c>
      <c r="N40" s="56"/>
    </row>
    <row r="41" spans="1:14" x14ac:dyDescent="0.3">
      <c r="A41" s="55"/>
      <c r="N41" s="56"/>
    </row>
    <row r="42" spans="1:14" x14ac:dyDescent="0.3">
      <c r="A42" s="55"/>
      <c r="N42" s="56"/>
    </row>
    <row r="43" spans="1:14" ht="15.5" thickBot="1" x14ac:dyDescent="0.35">
      <c r="A43" s="58"/>
      <c r="B43" s="59"/>
      <c r="C43" s="60"/>
      <c r="D43" s="60"/>
      <c r="E43" s="60"/>
      <c r="F43" s="60"/>
      <c r="G43" s="60"/>
      <c r="H43" s="60"/>
      <c r="I43" s="60"/>
      <c r="J43" s="59"/>
      <c r="K43" s="59"/>
      <c r="L43" s="59"/>
      <c r="M43" s="59"/>
      <c r="N43" s="61"/>
    </row>
    <row r="44" spans="1:14" ht="15" x14ac:dyDescent="0.3">
      <c r="B44" s="7"/>
    </row>
    <row r="45" spans="1:14" ht="15" x14ac:dyDescent="0.3">
      <c r="B45" s="7"/>
    </row>
    <row r="46" spans="1:14" ht="15" x14ac:dyDescent="0.3">
      <c r="B46" s="7"/>
    </row>
    <row r="47" spans="1:14" ht="15" x14ac:dyDescent="0.3">
      <c r="B47" s="7"/>
    </row>
    <row r="48" spans="1:14" ht="15" x14ac:dyDescent="0.3">
      <c r="B48" s="7"/>
    </row>
    <row r="49" spans="2:2" ht="15" x14ac:dyDescent="0.3">
      <c r="B49" s="7"/>
    </row>
    <row r="50" spans="2:2" ht="15" x14ac:dyDescent="0.3">
      <c r="B50" s="7"/>
    </row>
    <row r="51" spans="2:2" ht="15" x14ac:dyDescent="0.3">
      <c r="B51" s="7"/>
    </row>
    <row r="52" spans="2:2" ht="15" x14ac:dyDescent="0.3">
      <c r="B52" s="7"/>
    </row>
    <row r="53" spans="2:2" ht="15" x14ac:dyDescent="0.3">
      <c r="B53" s="7"/>
    </row>
    <row r="54" spans="2:2" ht="15" x14ac:dyDescent="0.3">
      <c r="B54" s="7"/>
    </row>
    <row r="55" spans="2:2" ht="15" x14ac:dyDescent="0.3">
      <c r="B55" s="7"/>
    </row>
    <row r="56" spans="2:2" ht="15" x14ac:dyDescent="0.3">
      <c r="B56" s="7"/>
    </row>
    <row r="57" spans="2:2" ht="15" x14ac:dyDescent="0.3">
      <c r="B57" s="7"/>
    </row>
    <row r="58" spans="2:2" ht="15" x14ac:dyDescent="0.3">
      <c r="B58" s="7"/>
    </row>
    <row r="59" spans="2:2" ht="15" x14ac:dyDescent="0.3">
      <c r="B59" s="7"/>
    </row>
  </sheetData>
  <mergeCells count="4">
    <mergeCell ref="A2:N2"/>
    <mergeCell ref="L3:N3"/>
    <mergeCell ref="A3:E3"/>
    <mergeCell ref="F3:K3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Home">
                <anchor moveWithCells="1" sizeWithCells="1">
                  <from>
                    <xdr:col>0</xdr:col>
                    <xdr:colOff>12700</xdr:colOff>
                    <xdr:row>0</xdr:row>
                    <xdr:rowOff>69850</xdr:rowOff>
                  </from>
                  <to>
                    <xdr:col>0</xdr:col>
                    <xdr:colOff>876300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B2C01-1B3B-4704-9CEA-811887C02D95}">
  <sheetPr codeName="Sheet3"/>
  <dimension ref="A1:Q40"/>
  <sheetViews>
    <sheetView showGridLines="0" zoomScaleNormal="100" workbookViewId="0"/>
  </sheetViews>
  <sheetFormatPr defaultRowHeight="15.5" x14ac:dyDescent="0.35"/>
  <cols>
    <col min="1" max="1" width="14" style="2" customWidth="1"/>
    <col min="2" max="2" width="8.7265625" style="2"/>
    <col min="3" max="3" width="3.90625" style="2" customWidth="1"/>
    <col min="4" max="4" width="9.26953125" style="2" customWidth="1"/>
    <col min="5" max="5" width="8.7265625" style="2"/>
    <col min="6" max="11" width="11.7265625" style="2" customWidth="1"/>
    <col min="12" max="12" width="8.7265625" style="2"/>
    <col min="13" max="13" width="4" style="2" customWidth="1"/>
    <col min="14" max="14" width="11.90625" style="2" bestFit="1" customWidth="1"/>
    <col min="15" max="17" width="18.36328125" style="2" customWidth="1"/>
    <col min="18" max="16384" width="8.7265625" style="2"/>
  </cols>
  <sheetData>
    <row r="1" spans="1:17" ht="61" customHeight="1" thickBot="1" x14ac:dyDescent="0.4"/>
    <row r="2" spans="1:17" ht="54.5" customHeight="1" thickBot="1" x14ac:dyDescent="0.4">
      <c r="A2" s="170" t="s">
        <v>2363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2"/>
    </row>
    <row r="3" spans="1:17" ht="35" customHeight="1" x14ac:dyDescent="0.35">
      <c r="A3" s="168" t="s">
        <v>33</v>
      </c>
      <c r="B3" s="165"/>
      <c r="C3" s="165"/>
      <c r="D3" s="165"/>
      <c r="E3" s="165"/>
      <c r="F3" s="167" t="s">
        <v>31</v>
      </c>
      <c r="G3" s="167"/>
      <c r="H3" s="167"/>
      <c r="I3" s="167"/>
      <c r="J3" s="167"/>
      <c r="K3" s="167"/>
      <c r="L3" s="91"/>
      <c r="M3" s="162" t="s">
        <v>32</v>
      </c>
      <c r="N3" s="162"/>
      <c r="O3" s="162"/>
      <c r="P3" s="162"/>
      <c r="Q3" s="169"/>
    </row>
    <row r="4" spans="1:17" x14ac:dyDescent="0.35">
      <c r="A4" s="24"/>
      <c r="F4" s="62"/>
      <c r="G4" s="62"/>
      <c r="H4" s="4" t="s">
        <v>12</v>
      </c>
      <c r="I4" s="62"/>
      <c r="J4" s="62"/>
      <c r="K4" s="62"/>
      <c r="L4" s="62"/>
      <c r="N4" s="2" t="s">
        <v>2356</v>
      </c>
      <c r="Q4" s="17"/>
    </row>
    <row r="5" spans="1:17" x14ac:dyDescent="0.35">
      <c r="A5" s="24" t="s">
        <v>9</v>
      </c>
      <c r="E5" s="2">
        <f>B13</f>
        <v>1010.7716716058658</v>
      </c>
      <c r="F5" s="62">
        <v>1</v>
      </c>
      <c r="G5" s="62">
        <v>3</v>
      </c>
      <c r="H5" s="62">
        <v>10</v>
      </c>
      <c r="I5" s="62">
        <v>15</v>
      </c>
      <c r="J5" s="62">
        <v>20</v>
      </c>
      <c r="K5" s="62">
        <v>25</v>
      </c>
      <c r="L5" s="62">
        <v>30</v>
      </c>
      <c r="N5" s="139" t="s">
        <v>2327</v>
      </c>
      <c r="O5" s="82" t="s">
        <v>2328</v>
      </c>
      <c r="P5" s="82" t="s">
        <v>2329</v>
      </c>
      <c r="Q5" s="92" t="s">
        <v>2330</v>
      </c>
    </row>
    <row r="6" spans="1:17" x14ac:dyDescent="0.35">
      <c r="A6" s="24"/>
      <c r="D6" s="7"/>
      <c r="E6" s="7">
        <v>0.01</v>
      </c>
      <c r="F6" s="2">
        <f t="dataTable" ref="F6:L21" dt2D="1" dtr="1" r1="B9" r2="B8"/>
        <v>1049.5049504950496</v>
      </c>
      <c r="G6" s="2">
        <v>1147.0492603617779</v>
      </c>
      <c r="H6" s="2">
        <v>1473.5652265350836</v>
      </c>
      <c r="I6" s="2">
        <v>1693.2526258581056</v>
      </c>
      <c r="J6" s="2">
        <v>1902.2776483135231</v>
      </c>
      <c r="K6" s="2">
        <v>2101.1577850310828</v>
      </c>
      <c r="L6" s="2">
        <v>2290.3854110643797</v>
      </c>
      <c r="N6" s="75" t="s">
        <v>2331</v>
      </c>
      <c r="O6" s="84" t="s">
        <v>2332</v>
      </c>
      <c r="P6" s="84" t="s">
        <v>2333</v>
      </c>
      <c r="Q6" s="93" t="s">
        <v>2334</v>
      </c>
    </row>
    <row r="7" spans="1:17" ht="28" x14ac:dyDescent="0.35">
      <c r="A7" s="24" t="s">
        <v>2</v>
      </c>
      <c r="B7" s="2">
        <v>0.06</v>
      </c>
      <c r="D7" s="94" t="s">
        <v>56</v>
      </c>
      <c r="E7" s="7">
        <v>0.02</v>
      </c>
      <c r="F7" s="2">
        <v>1039.2156862745098</v>
      </c>
      <c r="G7" s="2">
        <v>1115.3553309059109</v>
      </c>
      <c r="H7" s="2">
        <v>1359.3034002496897</v>
      </c>
      <c r="I7" s="2">
        <v>1513.970540022962</v>
      </c>
      <c r="J7" s="2">
        <v>1654.057333783885</v>
      </c>
      <c r="K7" s="2">
        <v>1780.9382589434422</v>
      </c>
      <c r="L7" s="2">
        <v>1895.8582220401768</v>
      </c>
      <c r="N7" s="75" t="s">
        <v>2335</v>
      </c>
      <c r="O7" s="84" t="s">
        <v>2332</v>
      </c>
      <c r="P7" s="84" t="s">
        <v>2336</v>
      </c>
      <c r="Q7" s="93" t="s">
        <v>2337</v>
      </c>
    </row>
    <row r="8" spans="1:17" ht="28" x14ac:dyDescent="0.35">
      <c r="A8" s="24" t="s">
        <v>1</v>
      </c>
      <c r="B8" s="2">
        <v>5.6000000000000001E-2</v>
      </c>
      <c r="D8" s="7"/>
      <c r="E8" s="7">
        <v>0.03</v>
      </c>
      <c r="F8" s="2">
        <v>1029.1262135922329</v>
      </c>
      <c r="G8" s="2">
        <v>1084.8583406468406</v>
      </c>
      <c r="H8" s="2">
        <v>1255.906085103275</v>
      </c>
      <c r="I8" s="2">
        <v>1358.1380526032826</v>
      </c>
      <c r="J8" s="2">
        <v>1446.3242458136656</v>
      </c>
      <c r="K8" s="2">
        <v>1522.394430738341</v>
      </c>
      <c r="L8" s="2">
        <v>1588.0132404840938</v>
      </c>
      <c r="N8" s="75" t="s">
        <v>2338</v>
      </c>
      <c r="O8" s="84" t="s">
        <v>2332</v>
      </c>
      <c r="P8" s="84" t="s">
        <v>2339</v>
      </c>
      <c r="Q8" s="93" t="s">
        <v>2340</v>
      </c>
    </row>
    <row r="9" spans="1:17" x14ac:dyDescent="0.35">
      <c r="A9" s="24" t="s">
        <v>10</v>
      </c>
      <c r="B9" s="2">
        <v>3</v>
      </c>
      <c r="D9" s="7"/>
      <c r="E9" s="7">
        <v>0.04</v>
      </c>
      <c r="F9" s="2">
        <v>1019.2307692307693</v>
      </c>
      <c r="G9" s="2">
        <v>1055.5018206645427</v>
      </c>
      <c r="H9" s="2">
        <v>1162.2179155871006</v>
      </c>
      <c r="I9" s="2">
        <v>1222.3677486433626</v>
      </c>
      <c r="J9" s="2">
        <v>1271.8065268993539</v>
      </c>
      <c r="K9" s="2">
        <v>1312.4415988730179</v>
      </c>
      <c r="L9" s="2">
        <v>1345.8406660132898</v>
      </c>
      <c r="Q9" s="17"/>
    </row>
    <row r="10" spans="1:17" x14ac:dyDescent="0.35">
      <c r="A10" s="24" t="s">
        <v>0</v>
      </c>
      <c r="B10" s="2">
        <v>1000</v>
      </c>
      <c r="D10" s="7"/>
      <c r="E10" s="7">
        <v>5.6000000000000001E-2</v>
      </c>
      <c r="F10" s="2">
        <v>1003.7878787878788</v>
      </c>
      <c r="G10" s="2">
        <v>1010.7716716058658</v>
      </c>
      <c r="H10" s="2">
        <v>1030.0064075681082</v>
      </c>
      <c r="I10" s="2">
        <v>1039.8848309232578</v>
      </c>
      <c r="J10" s="2">
        <v>1047.4074322042084</v>
      </c>
      <c r="K10" s="2">
        <v>1053.1360315968091</v>
      </c>
      <c r="L10" s="2">
        <v>1057.4984655176395</v>
      </c>
      <c r="Q10" s="17"/>
    </row>
    <row r="11" spans="1:17" x14ac:dyDescent="0.35">
      <c r="A11" s="24" t="s">
        <v>11</v>
      </c>
      <c r="B11" s="2">
        <v>1</v>
      </c>
      <c r="D11" s="95"/>
      <c r="E11" s="7">
        <v>0.06</v>
      </c>
      <c r="F11" s="2">
        <v>1000</v>
      </c>
      <c r="G11" s="2">
        <v>1000</v>
      </c>
      <c r="H11" s="2">
        <v>1000</v>
      </c>
      <c r="I11" s="2">
        <v>1000</v>
      </c>
      <c r="J11" s="2">
        <v>1000</v>
      </c>
      <c r="K11" s="2">
        <v>1000</v>
      </c>
      <c r="L11" s="2">
        <v>1000.0000000000001</v>
      </c>
      <c r="Q11" s="17"/>
    </row>
    <row r="12" spans="1:17" x14ac:dyDescent="0.35">
      <c r="A12" s="24"/>
      <c r="D12" s="7"/>
      <c r="E12" s="7">
        <v>7.0000000000000007E-2</v>
      </c>
      <c r="F12" s="2">
        <v>990.65420560747657</v>
      </c>
      <c r="G12" s="2">
        <v>973.756839555836</v>
      </c>
      <c r="H12" s="2">
        <v>929.76418459067395</v>
      </c>
      <c r="I12" s="2">
        <v>908.9208599489084</v>
      </c>
      <c r="J12" s="2">
        <v>894.05985754483822</v>
      </c>
      <c r="K12" s="2">
        <v>883.46416821746266</v>
      </c>
      <c r="L12" s="2">
        <v>875.9095881649414</v>
      </c>
      <c r="Q12" s="17"/>
    </row>
    <row r="13" spans="1:17" x14ac:dyDescent="0.35">
      <c r="A13" s="24" t="s">
        <v>55</v>
      </c>
      <c r="B13" s="2">
        <f>PVBm(B7,B8,B9,B10,B11)</f>
        <v>1010.7716716058658</v>
      </c>
      <c r="D13" s="7"/>
      <c r="E13" s="7">
        <v>0.08</v>
      </c>
      <c r="F13" s="2">
        <v>981.48148148148152</v>
      </c>
      <c r="G13" s="2">
        <v>948.45806025504237</v>
      </c>
      <c r="H13" s="2">
        <v>865.79837202117096</v>
      </c>
      <c r="I13" s="2">
        <v>828.81042624147244</v>
      </c>
      <c r="J13" s="2">
        <v>803.63705185101412</v>
      </c>
      <c r="K13" s="2">
        <v>786.50447622822833</v>
      </c>
      <c r="L13" s="2">
        <v>774.84433313745023</v>
      </c>
      <c r="Q13" s="17"/>
    </row>
    <row r="14" spans="1:17" x14ac:dyDescent="0.35">
      <c r="A14" s="24"/>
      <c r="D14" s="7"/>
      <c r="E14" s="7">
        <v>0.09</v>
      </c>
      <c r="F14" s="2">
        <v>972.47706422018348</v>
      </c>
      <c r="G14" s="2">
        <v>924.06116002035469</v>
      </c>
      <c r="H14" s="2">
        <v>807.47026896522971</v>
      </c>
      <c r="I14" s="2">
        <v>758.1793471043726</v>
      </c>
      <c r="J14" s="2">
        <v>726.14362992742235</v>
      </c>
      <c r="K14" s="2">
        <v>705.32261185154539</v>
      </c>
      <c r="L14" s="2">
        <v>691.79037870934769</v>
      </c>
      <c r="Q14" s="17"/>
    </row>
    <row r="15" spans="1:17" x14ac:dyDescent="0.35">
      <c r="A15" s="24"/>
      <c r="D15" s="7"/>
      <c r="E15" s="7">
        <v>0.1</v>
      </c>
      <c r="F15" s="2">
        <v>963.63636363636351</v>
      </c>
      <c r="G15" s="2">
        <v>900.52592036063106</v>
      </c>
      <c r="H15" s="2">
        <v>754.21731577181254</v>
      </c>
      <c r="I15" s="2">
        <v>695.7568197476653</v>
      </c>
      <c r="J15" s="2">
        <v>659.45745120965739</v>
      </c>
      <c r="K15" s="2">
        <v>636.9183992708256</v>
      </c>
      <c r="L15" s="2">
        <v>622.92342132046724</v>
      </c>
      <c r="Q15" s="17"/>
    </row>
    <row r="16" spans="1:17" x14ac:dyDescent="0.35">
      <c r="A16" s="24"/>
      <c r="D16" s="7"/>
      <c r="E16" s="7">
        <v>0.11</v>
      </c>
      <c r="F16" s="2">
        <v>954.95495495495481</v>
      </c>
      <c r="G16" s="2">
        <v>877.8142642277046</v>
      </c>
      <c r="H16" s="2">
        <v>705.53839944293952</v>
      </c>
      <c r="I16" s="2">
        <v>640.45652120469026</v>
      </c>
      <c r="J16" s="2">
        <v>601.8335941316559</v>
      </c>
      <c r="K16" s="2">
        <v>578.91276676665473</v>
      </c>
      <c r="L16" s="2">
        <v>565.31037132669383</v>
      </c>
      <c r="Q16" s="17"/>
    </row>
    <row r="17" spans="1:17" x14ac:dyDescent="0.35">
      <c r="A17" s="24"/>
      <c r="D17" s="7"/>
      <c r="E17" s="7">
        <v>0.12</v>
      </c>
      <c r="F17" s="2">
        <v>946.42857142857133</v>
      </c>
      <c r="G17" s="2">
        <v>855.89012390670541</v>
      </c>
      <c r="H17" s="2">
        <v>660.98661829534797</v>
      </c>
      <c r="I17" s="2">
        <v>591.34813063209958</v>
      </c>
      <c r="J17" s="2">
        <v>551.83338254034413</v>
      </c>
      <c r="K17" s="2">
        <v>529.4116532761268</v>
      </c>
      <c r="L17" s="2">
        <v>516.68896193995829</v>
      </c>
      <c r="Q17" s="17"/>
    </row>
    <row r="18" spans="1:17" x14ac:dyDescent="0.35">
      <c r="A18" s="24"/>
      <c r="D18" s="7"/>
      <c r="E18" s="7">
        <v>0.13</v>
      </c>
      <c r="F18" s="2">
        <v>938.05309734513276</v>
      </c>
      <c r="G18" s="2">
        <v>834.71931814952848</v>
      </c>
      <c r="H18" s="2">
        <v>620.16295668329826</v>
      </c>
      <c r="I18" s="2">
        <v>547.63348237121795</v>
      </c>
      <c r="J18" s="2">
        <v>508.26738953551961</v>
      </c>
      <c r="K18" s="2">
        <v>486.90105150746757</v>
      </c>
      <c r="L18" s="2">
        <v>475.30425924681953</v>
      </c>
      <c r="Q18" s="17"/>
    </row>
    <row r="19" spans="1:17" x14ac:dyDescent="0.35">
      <c r="A19" s="24"/>
      <c r="D19" s="7"/>
      <c r="E19" s="7">
        <v>0.14000000000000001</v>
      </c>
      <c r="F19" s="2">
        <v>929.82456140350871</v>
      </c>
      <c r="G19" s="2">
        <v>814.26943782972342</v>
      </c>
      <c r="H19" s="2">
        <v>582.71074829651343</v>
      </c>
      <c r="I19" s="2">
        <v>508.62656118237635</v>
      </c>
      <c r="J19" s="2">
        <v>470.14955587072438</v>
      </c>
      <c r="K19" s="2">
        <v>450.16580501344617</v>
      </c>
      <c r="L19" s="2">
        <v>439.78687102180231</v>
      </c>
      <c r="Q19" s="17"/>
    </row>
    <row r="20" spans="1:17" x14ac:dyDescent="0.35">
      <c r="A20" s="24"/>
      <c r="D20" s="7"/>
      <c r="E20" s="7">
        <v>0.15</v>
      </c>
      <c r="F20" s="2">
        <v>921.73913043478274</v>
      </c>
      <c r="G20" s="2">
        <v>794.50973945919304</v>
      </c>
      <c r="H20" s="2">
        <v>548.31082367311956</v>
      </c>
      <c r="I20" s="2">
        <v>473.73669112320192</v>
      </c>
      <c r="J20" s="2">
        <v>436.66016736433187</v>
      </c>
      <c r="K20" s="2">
        <v>418.22658232568745</v>
      </c>
      <c r="L20" s="2">
        <v>409.06183269633078</v>
      </c>
      <c r="Q20" s="17"/>
    </row>
    <row r="21" spans="1:17" x14ac:dyDescent="0.35">
      <c r="A21" s="24"/>
      <c r="D21" s="7"/>
      <c r="E21" s="7">
        <v>0.16</v>
      </c>
      <c r="F21" s="2">
        <v>913.79310344827582</v>
      </c>
      <c r="G21" s="2">
        <v>775.41104596334424</v>
      </c>
      <c r="H21" s="2">
        <v>516.67725215425287</v>
      </c>
      <c r="I21" s="2">
        <v>442.45438373875959</v>
      </c>
      <c r="J21" s="2">
        <v>407.11591004476759</v>
      </c>
      <c r="K21" s="2">
        <v>390.29080277418558</v>
      </c>
      <c r="L21" s="2">
        <v>382.2801502169213</v>
      </c>
      <c r="Q21" s="17"/>
    </row>
    <row r="22" spans="1:17" x14ac:dyDescent="0.35">
      <c r="A22" s="24"/>
      <c r="I22" s="2" t="s">
        <v>10</v>
      </c>
      <c r="Q22" s="17"/>
    </row>
    <row r="23" spans="1:17" x14ac:dyDescent="0.35">
      <c r="A23" s="24"/>
      <c r="F23" s="2">
        <f t="shared" ref="F23:L32" si="0">F5</f>
        <v>1</v>
      </c>
      <c r="G23" s="2">
        <f t="shared" si="0"/>
        <v>3</v>
      </c>
      <c r="H23" s="2">
        <f t="shared" si="0"/>
        <v>10</v>
      </c>
      <c r="I23" s="2">
        <f t="shared" si="0"/>
        <v>15</v>
      </c>
      <c r="J23" s="2">
        <f t="shared" si="0"/>
        <v>20</v>
      </c>
      <c r="K23" s="2">
        <f t="shared" si="0"/>
        <v>25</v>
      </c>
      <c r="L23" s="2">
        <f t="shared" si="0"/>
        <v>30</v>
      </c>
      <c r="Q23" s="17"/>
    </row>
    <row r="24" spans="1:17" x14ac:dyDescent="0.35">
      <c r="A24" s="24"/>
      <c r="E24" s="2">
        <f t="shared" ref="E24:E39" si="1">E6</f>
        <v>0.01</v>
      </c>
      <c r="F24" s="2">
        <f t="shared" si="0"/>
        <v>1049.5049504950496</v>
      </c>
      <c r="G24" s="2">
        <f t="shared" si="0"/>
        <v>1147.0492603617779</v>
      </c>
      <c r="H24" s="2">
        <f t="shared" si="0"/>
        <v>1473.5652265350836</v>
      </c>
      <c r="I24" s="2">
        <f t="shared" si="0"/>
        <v>1693.2526258581056</v>
      </c>
      <c r="J24" s="2">
        <f t="shared" si="0"/>
        <v>1902.2776483135231</v>
      </c>
      <c r="K24" s="2">
        <f t="shared" si="0"/>
        <v>2101.1577850310828</v>
      </c>
      <c r="L24" s="2">
        <f t="shared" si="0"/>
        <v>2290.3854110643797</v>
      </c>
      <c r="Q24" s="17"/>
    </row>
    <row r="25" spans="1:17" x14ac:dyDescent="0.35">
      <c r="A25" s="24"/>
      <c r="E25" s="2">
        <f t="shared" si="1"/>
        <v>0.02</v>
      </c>
      <c r="F25" s="2">
        <f t="shared" si="0"/>
        <v>1039.2156862745098</v>
      </c>
      <c r="G25" s="2">
        <f t="shared" si="0"/>
        <v>1115.3553309059109</v>
      </c>
      <c r="H25" s="2">
        <f t="shared" si="0"/>
        <v>1359.3034002496897</v>
      </c>
      <c r="I25" s="2">
        <f t="shared" si="0"/>
        <v>1513.970540022962</v>
      </c>
      <c r="J25" s="2">
        <f t="shared" si="0"/>
        <v>1654.057333783885</v>
      </c>
      <c r="K25" s="2">
        <f t="shared" si="0"/>
        <v>1780.9382589434422</v>
      </c>
      <c r="L25" s="2">
        <f t="shared" si="0"/>
        <v>1895.8582220401768</v>
      </c>
      <c r="Q25" s="17"/>
    </row>
    <row r="26" spans="1:17" x14ac:dyDescent="0.35">
      <c r="A26" s="24"/>
      <c r="E26" s="2">
        <f t="shared" si="1"/>
        <v>0.03</v>
      </c>
      <c r="F26" s="2">
        <f t="shared" si="0"/>
        <v>1029.1262135922329</v>
      </c>
      <c r="G26" s="2">
        <f t="shared" si="0"/>
        <v>1084.8583406468406</v>
      </c>
      <c r="H26" s="2">
        <f t="shared" si="0"/>
        <v>1255.906085103275</v>
      </c>
      <c r="I26" s="2">
        <f t="shared" si="0"/>
        <v>1358.1380526032826</v>
      </c>
      <c r="J26" s="2">
        <f t="shared" si="0"/>
        <v>1446.3242458136656</v>
      </c>
      <c r="K26" s="2">
        <f t="shared" si="0"/>
        <v>1522.394430738341</v>
      </c>
      <c r="L26" s="2">
        <f t="shared" si="0"/>
        <v>1588.0132404840938</v>
      </c>
      <c r="Q26" s="17"/>
    </row>
    <row r="27" spans="1:17" x14ac:dyDescent="0.35">
      <c r="A27" s="24"/>
      <c r="E27" s="2">
        <f t="shared" si="1"/>
        <v>0.04</v>
      </c>
      <c r="F27" s="2">
        <f t="shared" si="0"/>
        <v>1019.2307692307693</v>
      </c>
      <c r="G27" s="2">
        <f t="shared" si="0"/>
        <v>1055.5018206645427</v>
      </c>
      <c r="H27" s="2">
        <f t="shared" si="0"/>
        <v>1162.2179155871006</v>
      </c>
      <c r="I27" s="2">
        <f t="shared" si="0"/>
        <v>1222.3677486433626</v>
      </c>
      <c r="J27" s="2">
        <f t="shared" si="0"/>
        <v>1271.8065268993539</v>
      </c>
      <c r="K27" s="2">
        <f t="shared" si="0"/>
        <v>1312.4415988730179</v>
      </c>
      <c r="L27" s="2">
        <f t="shared" si="0"/>
        <v>1345.8406660132898</v>
      </c>
      <c r="Q27" s="17"/>
    </row>
    <row r="28" spans="1:17" x14ac:dyDescent="0.35">
      <c r="A28" s="24"/>
      <c r="D28" s="2" t="s">
        <v>1</v>
      </c>
      <c r="E28" s="2">
        <f t="shared" si="1"/>
        <v>5.6000000000000001E-2</v>
      </c>
      <c r="F28" s="2">
        <f t="shared" si="0"/>
        <v>1003.7878787878788</v>
      </c>
      <c r="G28" s="2">
        <f t="shared" si="0"/>
        <v>1010.7716716058658</v>
      </c>
      <c r="H28" s="2">
        <f t="shared" si="0"/>
        <v>1030.0064075681082</v>
      </c>
      <c r="I28" s="2">
        <f t="shared" si="0"/>
        <v>1039.8848309232578</v>
      </c>
      <c r="J28" s="2">
        <f t="shared" si="0"/>
        <v>1047.4074322042084</v>
      </c>
      <c r="K28" s="2">
        <f t="shared" si="0"/>
        <v>1053.1360315968091</v>
      </c>
      <c r="L28" s="2">
        <f t="shared" si="0"/>
        <v>1057.4984655176395</v>
      </c>
      <c r="Q28" s="17"/>
    </row>
    <row r="29" spans="1:17" x14ac:dyDescent="0.35">
      <c r="A29" s="24"/>
      <c r="E29" s="2">
        <f t="shared" si="1"/>
        <v>0.06</v>
      </c>
      <c r="F29" s="2">
        <f t="shared" si="0"/>
        <v>1000</v>
      </c>
      <c r="G29" s="2">
        <f t="shared" si="0"/>
        <v>1000</v>
      </c>
      <c r="H29" s="2">
        <f t="shared" si="0"/>
        <v>1000</v>
      </c>
      <c r="I29" s="2">
        <f t="shared" si="0"/>
        <v>1000</v>
      </c>
      <c r="J29" s="2">
        <f t="shared" si="0"/>
        <v>1000</v>
      </c>
      <c r="K29" s="2">
        <f t="shared" si="0"/>
        <v>1000</v>
      </c>
      <c r="L29" s="2">
        <f t="shared" si="0"/>
        <v>1000.0000000000001</v>
      </c>
      <c r="Q29" s="17"/>
    </row>
    <row r="30" spans="1:17" x14ac:dyDescent="0.35">
      <c r="A30" s="24"/>
      <c r="E30" s="2">
        <f t="shared" si="1"/>
        <v>7.0000000000000007E-2</v>
      </c>
      <c r="F30" s="2">
        <f t="shared" si="0"/>
        <v>990.65420560747657</v>
      </c>
      <c r="G30" s="2">
        <f t="shared" si="0"/>
        <v>973.756839555836</v>
      </c>
      <c r="H30" s="2">
        <f t="shared" si="0"/>
        <v>929.76418459067395</v>
      </c>
      <c r="I30" s="2">
        <f t="shared" si="0"/>
        <v>908.9208599489084</v>
      </c>
      <c r="J30" s="2">
        <f t="shared" si="0"/>
        <v>894.05985754483822</v>
      </c>
      <c r="K30" s="2">
        <f t="shared" si="0"/>
        <v>883.46416821746266</v>
      </c>
      <c r="L30" s="2">
        <f t="shared" si="0"/>
        <v>875.9095881649414</v>
      </c>
      <c r="Q30" s="17"/>
    </row>
    <row r="31" spans="1:17" x14ac:dyDescent="0.35">
      <c r="A31" s="24"/>
      <c r="E31" s="2">
        <f t="shared" si="1"/>
        <v>0.08</v>
      </c>
      <c r="F31" s="2">
        <f t="shared" si="0"/>
        <v>981.48148148148152</v>
      </c>
      <c r="G31" s="2">
        <f t="shared" si="0"/>
        <v>948.45806025504237</v>
      </c>
      <c r="H31" s="2">
        <f t="shared" si="0"/>
        <v>865.79837202117096</v>
      </c>
      <c r="I31" s="2">
        <f t="shared" si="0"/>
        <v>828.81042624147244</v>
      </c>
      <c r="J31" s="2">
        <f t="shared" si="0"/>
        <v>803.63705185101412</v>
      </c>
      <c r="K31" s="2">
        <f t="shared" si="0"/>
        <v>786.50447622822833</v>
      </c>
      <c r="L31" s="2">
        <f t="shared" si="0"/>
        <v>774.84433313745023</v>
      </c>
      <c r="Q31" s="17"/>
    </row>
    <row r="32" spans="1:17" x14ac:dyDescent="0.35">
      <c r="A32" s="24"/>
      <c r="E32" s="2">
        <f t="shared" si="1"/>
        <v>0.09</v>
      </c>
      <c r="F32" s="2">
        <f t="shared" si="0"/>
        <v>972.47706422018348</v>
      </c>
      <c r="G32" s="2">
        <f t="shared" si="0"/>
        <v>924.06116002035469</v>
      </c>
      <c r="H32" s="2">
        <f t="shared" si="0"/>
        <v>807.47026896522971</v>
      </c>
      <c r="I32" s="2">
        <f t="shared" si="0"/>
        <v>758.1793471043726</v>
      </c>
      <c r="J32" s="2">
        <f t="shared" si="0"/>
        <v>726.14362992742235</v>
      </c>
      <c r="K32" s="2">
        <f t="shared" si="0"/>
        <v>705.32261185154539</v>
      </c>
      <c r="L32" s="2">
        <f t="shared" si="0"/>
        <v>691.79037870934769</v>
      </c>
      <c r="Q32" s="17"/>
    </row>
    <row r="33" spans="1:17" x14ac:dyDescent="0.35">
      <c r="A33" s="24"/>
      <c r="E33" s="2">
        <f t="shared" si="1"/>
        <v>0.1</v>
      </c>
      <c r="F33" s="2">
        <f t="shared" ref="F33:L39" si="2">F15</f>
        <v>963.63636363636351</v>
      </c>
      <c r="G33" s="2">
        <f t="shared" si="2"/>
        <v>900.52592036063106</v>
      </c>
      <c r="H33" s="2">
        <f t="shared" si="2"/>
        <v>754.21731577181254</v>
      </c>
      <c r="I33" s="2">
        <f t="shared" si="2"/>
        <v>695.7568197476653</v>
      </c>
      <c r="J33" s="2">
        <f t="shared" si="2"/>
        <v>659.45745120965739</v>
      </c>
      <c r="K33" s="2">
        <f t="shared" si="2"/>
        <v>636.9183992708256</v>
      </c>
      <c r="L33" s="2">
        <f t="shared" si="2"/>
        <v>622.92342132046724</v>
      </c>
      <c r="Q33" s="17"/>
    </row>
    <row r="34" spans="1:17" x14ac:dyDescent="0.35">
      <c r="A34" s="24"/>
      <c r="E34" s="2">
        <f t="shared" si="1"/>
        <v>0.11</v>
      </c>
      <c r="F34" s="2">
        <f t="shared" si="2"/>
        <v>954.95495495495481</v>
      </c>
      <c r="G34" s="2">
        <f t="shared" si="2"/>
        <v>877.8142642277046</v>
      </c>
      <c r="H34" s="2">
        <f t="shared" si="2"/>
        <v>705.53839944293952</v>
      </c>
      <c r="I34" s="2">
        <f t="shared" si="2"/>
        <v>640.45652120469026</v>
      </c>
      <c r="J34" s="2">
        <f t="shared" si="2"/>
        <v>601.8335941316559</v>
      </c>
      <c r="K34" s="2">
        <f t="shared" si="2"/>
        <v>578.91276676665473</v>
      </c>
      <c r="L34" s="2">
        <f t="shared" si="2"/>
        <v>565.31037132669383</v>
      </c>
      <c r="Q34" s="17"/>
    </row>
    <row r="35" spans="1:17" x14ac:dyDescent="0.35">
      <c r="A35" s="24"/>
      <c r="E35" s="2">
        <f t="shared" si="1"/>
        <v>0.12</v>
      </c>
      <c r="F35" s="2">
        <f t="shared" si="2"/>
        <v>946.42857142857133</v>
      </c>
      <c r="G35" s="2">
        <f t="shared" si="2"/>
        <v>855.89012390670541</v>
      </c>
      <c r="H35" s="2">
        <f t="shared" si="2"/>
        <v>660.98661829534797</v>
      </c>
      <c r="I35" s="2">
        <f t="shared" si="2"/>
        <v>591.34813063209958</v>
      </c>
      <c r="J35" s="2">
        <f t="shared" si="2"/>
        <v>551.83338254034413</v>
      </c>
      <c r="K35" s="2">
        <f t="shared" si="2"/>
        <v>529.4116532761268</v>
      </c>
      <c r="L35" s="2">
        <f t="shared" si="2"/>
        <v>516.68896193995829</v>
      </c>
      <c r="Q35" s="17"/>
    </row>
    <row r="36" spans="1:17" x14ac:dyDescent="0.35">
      <c r="A36" s="24"/>
      <c r="E36" s="2">
        <f t="shared" si="1"/>
        <v>0.13</v>
      </c>
      <c r="F36" s="2">
        <f t="shared" si="2"/>
        <v>938.05309734513276</v>
      </c>
      <c r="G36" s="2">
        <f t="shared" si="2"/>
        <v>834.71931814952848</v>
      </c>
      <c r="H36" s="2">
        <f t="shared" si="2"/>
        <v>620.16295668329826</v>
      </c>
      <c r="I36" s="2">
        <f t="shared" si="2"/>
        <v>547.63348237121795</v>
      </c>
      <c r="J36" s="2">
        <f t="shared" si="2"/>
        <v>508.26738953551961</v>
      </c>
      <c r="K36" s="2">
        <f t="shared" si="2"/>
        <v>486.90105150746757</v>
      </c>
      <c r="L36" s="2">
        <f t="shared" si="2"/>
        <v>475.30425924681953</v>
      </c>
      <c r="Q36" s="17"/>
    </row>
    <row r="37" spans="1:17" x14ac:dyDescent="0.35">
      <c r="A37" s="24"/>
      <c r="E37" s="2">
        <f t="shared" si="1"/>
        <v>0.14000000000000001</v>
      </c>
      <c r="F37" s="2">
        <f t="shared" si="2"/>
        <v>929.82456140350871</v>
      </c>
      <c r="G37" s="2">
        <f t="shared" si="2"/>
        <v>814.26943782972342</v>
      </c>
      <c r="H37" s="2">
        <f t="shared" si="2"/>
        <v>582.71074829651343</v>
      </c>
      <c r="I37" s="2">
        <f t="shared" si="2"/>
        <v>508.62656118237635</v>
      </c>
      <c r="J37" s="2">
        <f t="shared" si="2"/>
        <v>470.14955587072438</v>
      </c>
      <c r="K37" s="2">
        <f t="shared" si="2"/>
        <v>450.16580501344617</v>
      </c>
      <c r="L37" s="2">
        <f t="shared" si="2"/>
        <v>439.78687102180231</v>
      </c>
      <c r="Q37" s="17"/>
    </row>
    <row r="38" spans="1:17" x14ac:dyDescent="0.35">
      <c r="A38" s="24"/>
      <c r="E38" s="2">
        <f t="shared" si="1"/>
        <v>0.15</v>
      </c>
      <c r="F38" s="2">
        <f t="shared" si="2"/>
        <v>921.73913043478274</v>
      </c>
      <c r="G38" s="2">
        <f t="shared" si="2"/>
        <v>794.50973945919304</v>
      </c>
      <c r="H38" s="2">
        <f t="shared" si="2"/>
        <v>548.31082367311956</v>
      </c>
      <c r="I38" s="2">
        <f t="shared" si="2"/>
        <v>473.73669112320192</v>
      </c>
      <c r="J38" s="2">
        <f t="shared" si="2"/>
        <v>436.66016736433187</v>
      </c>
      <c r="K38" s="2">
        <f t="shared" si="2"/>
        <v>418.22658232568745</v>
      </c>
      <c r="L38" s="2">
        <f t="shared" si="2"/>
        <v>409.06183269633078</v>
      </c>
      <c r="Q38" s="17"/>
    </row>
    <row r="39" spans="1:17" x14ac:dyDescent="0.35">
      <c r="A39" s="24"/>
      <c r="E39" s="2">
        <f t="shared" si="1"/>
        <v>0.16</v>
      </c>
      <c r="F39" s="2">
        <f t="shared" si="2"/>
        <v>913.79310344827582</v>
      </c>
      <c r="G39" s="2">
        <f t="shared" si="2"/>
        <v>775.41104596334424</v>
      </c>
      <c r="H39" s="2">
        <f t="shared" si="2"/>
        <v>516.67725215425287</v>
      </c>
      <c r="I39" s="2">
        <f t="shared" si="2"/>
        <v>442.45438373875959</v>
      </c>
      <c r="J39" s="2">
        <f t="shared" si="2"/>
        <v>407.11591004476759</v>
      </c>
      <c r="K39" s="2">
        <f t="shared" si="2"/>
        <v>390.29080277418558</v>
      </c>
      <c r="L39" s="2">
        <f t="shared" si="2"/>
        <v>382.2801502169213</v>
      </c>
      <c r="Q39" s="17"/>
    </row>
    <row r="40" spans="1:17" ht="16" thickBot="1" x14ac:dyDescent="0.4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20"/>
    </row>
  </sheetData>
  <mergeCells count="4">
    <mergeCell ref="F3:K3"/>
    <mergeCell ref="A3:E3"/>
    <mergeCell ref="M3:Q3"/>
    <mergeCell ref="A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69850</xdr:rowOff>
                  </from>
                  <to>
                    <xdr:col>1</xdr:col>
                    <xdr:colOff>31750</xdr:colOff>
                    <xdr:row>0</xdr:row>
                    <xdr:rowOff>755650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5BD93-23EA-4E2D-95D0-94881E4C64B1}">
  <sheetPr codeName="Sheet7"/>
  <dimension ref="A1:N35"/>
  <sheetViews>
    <sheetView showGridLines="0" tabSelected="1" zoomScale="93" zoomScaleNormal="100" workbookViewId="0"/>
  </sheetViews>
  <sheetFormatPr defaultRowHeight="15.5" x14ac:dyDescent="0.35"/>
  <cols>
    <col min="1" max="1" width="11.81640625" style="2" customWidth="1"/>
    <col min="2" max="11" width="8.7265625" style="2"/>
    <col min="12" max="12" width="22.6328125" style="2" customWidth="1"/>
    <col min="13" max="13" width="42.08984375" style="2" customWidth="1"/>
    <col min="14" max="14" width="81.36328125" style="2" customWidth="1"/>
    <col min="15" max="15" width="80" style="2" customWidth="1"/>
    <col min="16" max="16384" width="8.7265625" style="2"/>
  </cols>
  <sheetData>
    <row r="1" spans="1:14" ht="76" customHeight="1" thickBot="1" x14ac:dyDescent="0.4"/>
    <row r="2" spans="1:14" ht="68" customHeight="1" thickBot="1" x14ac:dyDescent="0.4">
      <c r="A2" s="173" t="s">
        <v>2364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5"/>
    </row>
    <row r="3" spans="1:14" ht="34" customHeight="1" x14ac:dyDescent="0.35">
      <c r="A3" s="176" t="s">
        <v>33</v>
      </c>
      <c r="B3" s="177"/>
      <c r="C3" s="177"/>
      <c r="D3" s="177"/>
      <c r="E3" s="177"/>
      <c r="F3" s="178" t="s">
        <v>31</v>
      </c>
      <c r="G3" s="178"/>
      <c r="H3" s="178"/>
      <c r="I3" s="178"/>
      <c r="J3" s="178"/>
      <c r="K3" s="178"/>
      <c r="L3" s="179" t="s">
        <v>32</v>
      </c>
      <c r="M3" s="179"/>
      <c r="N3" s="99" t="s">
        <v>2341</v>
      </c>
    </row>
    <row r="4" spans="1:14" x14ac:dyDescent="0.35">
      <c r="A4" s="24"/>
      <c r="E4" s="2">
        <f>B11</f>
        <v>2.8357650422570746</v>
      </c>
      <c r="N4" s="17"/>
    </row>
    <row r="5" spans="1:14" x14ac:dyDescent="0.35">
      <c r="A5" s="24" t="s">
        <v>2</v>
      </c>
      <c r="B5" s="2">
        <v>0.06</v>
      </c>
      <c r="D5" s="2">
        <v>3</v>
      </c>
      <c r="E5" s="2">
        <f t="dataTable" ref="E5:E11" dt2D="0" dtr="0" r1="B7"/>
        <v>2.8357650422570746</v>
      </c>
      <c r="N5" s="17"/>
    </row>
    <row r="6" spans="1:14" x14ac:dyDescent="0.35">
      <c r="A6" s="24" t="s">
        <v>1</v>
      </c>
      <c r="B6" s="2">
        <v>0.05</v>
      </c>
      <c r="D6" s="2">
        <v>5</v>
      </c>
      <c r="E6" s="2">
        <v>4.4777512430879964</v>
      </c>
      <c r="N6" s="17"/>
    </row>
    <row r="7" spans="1:14" x14ac:dyDescent="0.35">
      <c r="A7" s="24" t="s">
        <v>38</v>
      </c>
      <c r="B7" s="2">
        <v>3</v>
      </c>
      <c r="C7" s="63" t="s">
        <v>10</v>
      </c>
      <c r="D7" s="2">
        <v>10</v>
      </c>
      <c r="E7" s="2">
        <v>7.8921487007985753</v>
      </c>
      <c r="N7" s="17"/>
    </row>
    <row r="8" spans="1:14" x14ac:dyDescent="0.35">
      <c r="A8" s="24" t="s">
        <v>0</v>
      </c>
      <c r="B8" s="2">
        <v>1000</v>
      </c>
      <c r="D8" s="2">
        <v>15</v>
      </c>
      <c r="E8" s="2">
        <v>10.541179453382567</v>
      </c>
      <c r="N8" s="17"/>
    </row>
    <row r="9" spans="1:14" x14ac:dyDescent="0.35">
      <c r="A9" s="24" t="s">
        <v>11</v>
      </c>
      <c r="B9" s="2">
        <v>1</v>
      </c>
      <c r="D9" s="2">
        <v>20</v>
      </c>
      <c r="E9" s="2">
        <v>12.62186387487267</v>
      </c>
      <c r="N9" s="17"/>
    </row>
    <row r="10" spans="1:14" x14ac:dyDescent="0.35">
      <c r="A10" s="24"/>
      <c r="D10" s="2">
        <v>25</v>
      </c>
      <c r="E10" s="2">
        <v>14.270570061062804</v>
      </c>
      <c r="N10" s="17"/>
    </row>
    <row r="11" spans="1:14" x14ac:dyDescent="0.35">
      <c r="A11" s="64" t="s">
        <v>35</v>
      </c>
      <c r="B11" s="40">
        <f>PVBmDur(B5,B6,B7,B8,B9)</f>
        <v>2.8357650422570746</v>
      </c>
      <c r="D11" s="2">
        <v>30</v>
      </c>
      <c r="E11" s="2">
        <v>15.585196848897212</v>
      </c>
      <c r="N11" s="17"/>
    </row>
    <row r="12" spans="1:14" x14ac:dyDescent="0.35">
      <c r="A12" s="24"/>
      <c r="N12" s="17"/>
    </row>
    <row r="13" spans="1:14" x14ac:dyDescent="0.35">
      <c r="A13" s="24"/>
      <c r="E13" s="2">
        <f>B11</f>
        <v>2.8357650422570746</v>
      </c>
      <c r="N13" s="17"/>
    </row>
    <row r="14" spans="1:14" x14ac:dyDescent="0.35">
      <c r="A14" s="24"/>
      <c r="D14" s="2">
        <v>0.01</v>
      </c>
      <c r="E14" s="2">
        <f t="dataTable" ref="E14:E23" dt2D="0" dtr="0" r1="B5" ca="1"/>
        <v>2.9684447783621337</v>
      </c>
      <c r="N14" s="17"/>
    </row>
    <row r="15" spans="1:14" x14ac:dyDescent="0.35">
      <c r="A15" s="24"/>
      <c r="D15" s="2">
        <v>0.02</v>
      </c>
      <c r="E15" s="2">
        <v>2.938761111895019</v>
      </c>
      <c r="N15" s="17"/>
    </row>
    <row r="16" spans="1:14" x14ac:dyDescent="0.35">
      <c r="A16" s="24"/>
      <c r="D16" s="2">
        <v>0.03</v>
      </c>
      <c r="E16" s="2">
        <v>2.9107872918712743</v>
      </c>
      <c r="N16" s="17"/>
    </row>
    <row r="17" spans="1:14" x14ac:dyDescent="0.35">
      <c r="A17" s="24"/>
      <c r="D17" s="2">
        <v>0.04</v>
      </c>
      <c r="E17" s="2">
        <v>2.8843797176094483</v>
      </c>
      <c r="N17" s="17"/>
    </row>
    <row r="18" spans="1:14" x14ac:dyDescent="0.35">
      <c r="A18" s="24"/>
      <c r="D18" s="2">
        <v>0.05</v>
      </c>
      <c r="E18" s="2">
        <v>2.8594104308390018</v>
      </c>
      <c r="N18" s="17"/>
    </row>
    <row r="19" spans="1:14" x14ac:dyDescent="0.35">
      <c r="A19" s="24"/>
      <c r="D19" s="2">
        <v>0.06</v>
      </c>
      <c r="E19" s="2">
        <v>2.8357650422570746</v>
      </c>
      <c r="N19" s="17"/>
    </row>
    <row r="20" spans="1:14" x14ac:dyDescent="0.35">
      <c r="A20" s="24"/>
      <c r="D20" s="2">
        <v>7.0000000000000007E-2</v>
      </c>
      <c r="E20" s="2">
        <v>2.8133409793761648</v>
      </c>
      <c r="N20" s="17"/>
    </row>
    <row r="21" spans="1:14" x14ac:dyDescent="0.35">
      <c r="A21" s="24"/>
      <c r="D21" s="2">
        <v>0.08</v>
      </c>
      <c r="E21" s="2">
        <v>2.7920459990416866</v>
      </c>
      <c r="N21" s="17"/>
    </row>
    <row r="22" spans="1:14" x14ac:dyDescent="0.35">
      <c r="A22" s="24"/>
      <c r="D22" s="2">
        <v>0.09</v>
      </c>
      <c r="E22" s="2">
        <v>2.7717969191220866</v>
      </c>
      <c r="N22" s="17"/>
    </row>
    <row r="23" spans="1:14" x14ac:dyDescent="0.35">
      <c r="A23" s="24"/>
      <c r="D23" s="2">
        <v>0.1</v>
      </c>
      <c r="E23" s="2">
        <v>2.7525185325983652</v>
      </c>
      <c r="N23" s="17"/>
    </row>
    <row r="24" spans="1:14" x14ac:dyDescent="0.35">
      <c r="A24" s="24"/>
      <c r="N24" s="17"/>
    </row>
    <row r="25" spans="1:14" x14ac:dyDescent="0.35">
      <c r="A25" s="24"/>
      <c r="E25" s="2">
        <f>B11</f>
        <v>2.8357650422570746</v>
      </c>
      <c r="N25" s="17"/>
    </row>
    <row r="26" spans="1:14" x14ac:dyDescent="0.35">
      <c r="A26" s="24"/>
      <c r="D26" s="2">
        <v>0.01</v>
      </c>
      <c r="E26" s="2">
        <f t="dataTable" ref="E26:E35" dt2D="0" dtr="0" r1="B6" ca="1"/>
        <v>2.8451420960800675</v>
      </c>
      <c r="N26" s="17"/>
    </row>
    <row r="27" spans="1:14" x14ac:dyDescent="0.35">
      <c r="A27" s="24"/>
      <c r="D27" s="2">
        <v>0.02</v>
      </c>
      <c r="E27" s="2">
        <v>2.8428149479902403</v>
      </c>
      <c r="N27" s="17"/>
    </row>
    <row r="28" spans="1:14" x14ac:dyDescent="0.35">
      <c r="A28" s="24"/>
      <c r="D28" s="2">
        <v>0.03</v>
      </c>
      <c r="E28" s="2">
        <v>2.8404763069676262</v>
      </c>
      <c r="N28" s="17"/>
    </row>
    <row r="29" spans="1:14" x14ac:dyDescent="0.35">
      <c r="A29" s="24"/>
      <c r="D29" s="2">
        <v>0.04</v>
      </c>
      <c r="E29" s="2">
        <v>2.8381262970649273</v>
      </c>
      <c r="N29" s="17"/>
    </row>
    <row r="30" spans="1:14" x14ac:dyDescent="0.35">
      <c r="A30" s="24"/>
      <c r="D30" s="2">
        <v>0.05</v>
      </c>
      <c r="E30" s="2">
        <v>2.8357650422570746</v>
      </c>
      <c r="N30" s="17"/>
    </row>
    <row r="31" spans="1:14" x14ac:dyDescent="0.35">
      <c r="A31" s="24"/>
      <c r="D31" s="2">
        <v>0.06</v>
      </c>
      <c r="E31" s="2">
        <v>2.8333926664293343</v>
      </c>
      <c r="N31" s="17"/>
    </row>
    <row r="32" spans="1:14" x14ac:dyDescent="0.35">
      <c r="A32" s="24"/>
      <c r="D32" s="2">
        <v>7.0000000000000007E-2</v>
      </c>
      <c r="E32" s="2">
        <v>2.8310092933655455</v>
      </c>
      <c r="N32" s="17"/>
    </row>
    <row r="33" spans="1:14" x14ac:dyDescent="0.35">
      <c r="A33" s="24"/>
      <c r="D33" s="2">
        <v>0.08</v>
      </c>
      <c r="E33" s="2">
        <v>2.8286150467364815</v>
      </c>
      <c r="N33" s="17"/>
    </row>
    <row r="34" spans="1:14" x14ac:dyDescent="0.35">
      <c r="A34" s="24"/>
      <c r="D34" s="2">
        <v>0.09</v>
      </c>
      <c r="E34" s="2">
        <v>2.8262100500883269</v>
      </c>
      <c r="N34" s="17"/>
    </row>
    <row r="35" spans="1:14" x14ac:dyDescent="0.35">
      <c r="A35" s="96"/>
      <c r="B35" s="97"/>
      <c r="C35" s="97"/>
      <c r="D35" s="97">
        <v>0.1</v>
      </c>
      <c r="E35" s="97">
        <v>2.8237944268313031</v>
      </c>
      <c r="F35" s="97"/>
      <c r="G35" s="97"/>
      <c r="H35" s="97"/>
      <c r="I35" s="97"/>
      <c r="J35" s="97"/>
      <c r="K35" s="97"/>
      <c r="L35" s="97"/>
      <c r="M35" s="97"/>
      <c r="N35" s="98"/>
    </row>
  </sheetData>
  <mergeCells count="4">
    <mergeCell ref="A2:N2"/>
    <mergeCell ref="A3:E3"/>
    <mergeCell ref="F3:K3"/>
    <mergeCell ref="L3:M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Button 2">
              <controlPr defaultSize="0" print="0" autoFill="0" autoPict="0" macro="[0]!Home">
                <anchor moveWithCells="1" sizeWithCells="1">
                  <from>
                    <xdr:col>0</xdr:col>
                    <xdr:colOff>31750</xdr:colOff>
                    <xdr:row>0</xdr:row>
                    <xdr:rowOff>76200</xdr:rowOff>
                  </from>
                  <to>
                    <xdr:col>1</xdr:col>
                    <xdr:colOff>69850</xdr:colOff>
                    <xdr:row>0</xdr:row>
                    <xdr:rowOff>850900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A10C-53DE-443B-A9F4-7724BDBF685D}">
  <sheetPr codeName="Sheet5"/>
  <dimension ref="A1:G14"/>
  <sheetViews>
    <sheetView showGridLines="0" topLeftCell="A6" zoomScale="96" zoomScaleNormal="130" workbookViewId="0">
      <selection activeCell="A14" sqref="A14"/>
    </sheetView>
  </sheetViews>
  <sheetFormatPr defaultRowHeight="14" x14ac:dyDescent="0.3"/>
  <cols>
    <col min="1" max="1" width="14.26953125" style="1" customWidth="1"/>
    <col min="2" max="4" width="8.7265625" style="1"/>
    <col min="5" max="7" width="16.1796875" style="1" customWidth="1"/>
    <col min="8" max="16384" width="8.7265625" style="1"/>
  </cols>
  <sheetData>
    <row r="1" spans="1:7" ht="52.5" customHeight="1" thickBot="1" x14ac:dyDescent="0.35"/>
    <row r="2" spans="1:7" ht="44.5" customHeight="1" thickBot="1" x14ac:dyDescent="0.35">
      <c r="A2" s="180" t="s">
        <v>2365</v>
      </c>
      <c r="B2" s="181"/>
      <c r="C2" s="181"/>
      <c r="D2" s="181"/>
      <c r="E2" s="181"/>
      <c r="F2" s="181"/>
      <c r="G2" s="182"/>
    </row>
    <row r="3" spans="1:7" x14ac:dyDescent="0.3">
      <c r="A3" s="27" t="s">
        <v>13</v>
      </c>
      <c r="G3" s="28"/>
    </row>
    <row r="4" spans="1:7" x14ac:dyDescent="0.3">
      <c r="A4" s="27"/>
      <c r="G4" s="28"/>
    </row>
    <row r="5" spans="1:7" x14ac:dyDescent="0.3">
      <c r="A5" s="27" t="s">
        <v>2</v>
      </c>
      <c r="B5" s="1">
        <v>0.05</v>
      </c>
      <c r="G5" s="28"/>
    </row>
    <row r="6" spans="1:7" x14ac:dyDescent="0.3">
      <c r="A6" s="27" t="s">
        <v>10</v>
      </c>
      <c r="B6" s="1">
        <v>3</v>
      </c>
      <c r="G6" s="28"/>
    </row>
    <row r="7" spans="1:7" x14ac:dyDescent="0.3">
      <c r="A7" s="27" t="s">
        <v>0</v>
      </c>
      <c r="B7" s="1">
        <v>1000</v>
      </c>
      <c r="G7" s="28"/>
    </row>
    <row r="8" spans="1:7" x14ac:dyDescent="0.3">
      <c r="A8" s="27" t="s">
        <v>11</v>
      </c>
      <c r="B8" s="1">
        <v>1</v>
      </c>
      <c r="G8" s="28"/>
    </row>
    <row r="9" spans="1:7" x14ac:dyDescent="0.3">
      <c r="A9" s="27" t="s">
        <v>14</v>
      </c>
      <c r="B9" s="1">
        <v>1010.77</v>
      </c>
      <c r="G9" s="28"/>
    </row>
    <row r="10" spans="1:7" x14ac:dyDescent="0.3">
      <c r="A10" s="27"/>
      <c r="G10" s="28"/>
    </row>
    <row r="11" spans="1:7" ht="25.5" customHeight="1" x14ac:dyDescent="0.3">
      <c r="A11" s="41" t="s">
        <v>2342</v>
      </c>
      <c r="B11" s="100">
        <f>PVBmIRR(B5,B6,B7,B8,B9)</f>
        <v>4.6051025390625E-2</v>
      </c>
      <c r="E11" s="29"/>
      <c r="G11" s="28"/>
    </row>
    <row r="12" spans="1:7" x14ac:dyDescent="0.3">
      <c r="A12" s="1" t="s">
        <v>2344</v>
      </c>
      <c r="G12" s="28"/>
    </row>
    <row r="13" spans="1:7" ht="17.5" x14ac:dyDescent="0.35">
      <c r="A13" s="134" t="s">
        <v>40</v>
      </c>
      <c r="G13" s="28"/>
    </row>
    <row r="14" spans="1:7" ht="15" thickBot="1" x14ac:dyDescent="0.4">
      <c r="A14" s="141" t="s">
        <v>39</v>
      </c>
      <c r="B14" s="30"/>
      <c r="C14" s="30"/>
      <c r="D14" s="30"/>
      <c r="E14" s="30"/>
      <c r="F14" s="30"/>
      <c r="G14" s="31"/>
    </row>
  </sheetData>
  <mergeCells count="1">
    <mergeCell ref="A2:G2"/>
  </mergeCells>
  <hyperlinks>
    <hyperlink ref="A14" r:id="rId1" xr:uid="{0B8F4CB1-96F5-47D4-9341-05CC99DBE0A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4" name="Button 3">
              <controlPr defaultSize="0" print="0" autoFill="0" autoPict="0" macro="[0]!Home">
                <anchor moveWithCells="1" sizeWithCells="1">
                  <from>
                    <xdr:col>0</xdr:col>
                    <xdr:colOff>19050</xdr:colOff>
                    <xdr:row>0</xdr:row>
                    <xdr:rowOff>63500</xdr:rowOff>
                  </from>
                  <to>
                    <xdr:col>0</xdr:col>
                    <xdr:colOff>882650</xdr:colOff>
                    <xdr:row>0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82FB8-480E-408B-A24C-64177CEBAB56}">
  <sheetPr codeName="Sheet9"/>
  <dimension ref="A1:L372"/>
  <sheetViews>
    <sheetView showGridLines="0" topLeftCell="A2" zoomScale="83" zoomScaleNormal="100" workbookViewId="0">
      <selection activeCell="D5" sqref="D5"/>
    </sheetView>
  </sheetViews>
  <sheetFormatPr defaultRowHeight="15.5" x14ac:dyDescent="0.35"/>
  <cols>
    <col min="1" max="1" width="18.08984375" style="2" customWidth="1"/>
    <col min="2" max="2" width="11.36328125" style="2" customWidth="1"/>
    <col min="3" max="3" width="9.6328125" style="2" bestFit="1" customWidth="1"/>
    <col min="4" max="4" width="11.81640625" style="2" customWidth="1"/>
    <col min="5" max="5" width="14.26953125" style="32" customWidth="1"/>
    <col min="6" max="6" width="5" style="32" customWidth="1"/>
    <col min="7" max="7" width="11.90625" style="2" customWidth="1"/>
    <col min="8" max="10" width="12.54296875" style="2" bestFit="1" customWidth="1"/>
    <col min="11" max="11" width="14" style="2" bestFit="1" customWidth="1"/>
    <col min="12" max="12" width="1.81640625" style="2" customWidth="1"/>
    <col min="13" max="16384" width="8.7265625" style="2"/>
  </cols>
  <sheetData>
    <row r="1" spans="1:12" ht="51" customHeight="1" thickBot="1" x14ac:dyDescent="0.4"/>
    <row r="2" spans="1:12" ht="48" customHeight="1" x14ac:dyDescent="0.35">
      <c r="A2" s="176" t="s">
        <v>2366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83"/>
    </row>
    <row r="3" spans="1:12" ht="51.5" customHeight="1" x14ac:dyDescent="0.35">
      <c r="A3" s="184" t="s">
        <v>48</v>
      </c>
      <c r="B3" s="185"/>
      <c r="C3" s="8"/>
      <c r="D3" s="8"/>
      <c r="E3" s="8"/>
      <c r="F3" s="8"/>
      <c r="G3" s="8"/>
      <c r="H3" s="8"/>
      <c r="I3" s="8"/>
      <c r="J3" s="8"/>
      <c r="K3" s="8"/>
      <c r="L3" s="36"/>
    </row>
    <row r="4" spans="1:12" ht="17.5" x14ac:dyDescent="0.35">
      <c r="A4" s="24" t="s">
        <v>20</v>
      </c>
      <c r="B4" s="2">
        <v>150000</v>
      </c>
      <c r="D4" s="135" t="s">
        <v>26</v>
      </c>
      <c r="E4" s="6"/>
      <c r="F4" s="6" t="s">
        <v>2343</v>
      </c>
      <c r="L4" s="17"/>
    </row>
    <row r="5" spans="1:12" x14ac:dyDescent="0.35">
      <c r="A5" s="24" t="s">
        <v>1</v>
      </c>
      <c r="B5" s="2">
        <v>0.05</v>
      </c>
      <c r="D5" s="138" t="s">
        <v>42</v>
      </c>
      <c r="E5" s="6"/>
      <c r="F5" s="6"/>
      <c r="L5" s="17"/>
    </row>
    <row r="6" spans="1:12" x14ac:dyDescent="0.35">
      <c r="A6" s="24" t="s">
        <v>10</v>
      </c>
      <c r="B6" s="2">
        <v>30</v>
      </c>
      <c r="E6" s="6"/>
      <c r="F6" s="6"/>
      <c r="L6" s="17"/>
    </row>
    <row r="7" spans="1:12" x14ac:dyDescent="0.35">
      <c r="A7" s="24" t="s">
        <v>11</v>
      </c>
      <c r="B7" s="2">
        <v>12</v>
      </c>
      <c r="E7" s="6">
        <f>B7*B6</f>
        <v>360</v>
      </c>
      <c r="F7" s="6"/>
      <c r="L7" s="17"/>
    </row>
    <row r="8" spans="1:12" ht="27" customHeight="1" x14ac:dyDescent="0.35">
      <c r="A8" s="37" t="s">
        <v>41</v>
      </c>
      <c r="B8" s="4" cm="1">
        <f t="array" ref="B8">MortPayment(B4,B6,B7,B5)</f>
        <v>805.23243451820974</v>
      </c>
      <c r="E8" s="6"/>
      <c r="F8" s="6"/>
      <c r="L8" s="17"/>
    </row>
    <row r="9" spans="1:12" ht="53.5" customHeight="1" x14ac:dyDescent="0.35">
      <c r="A9" s="38"/>
      <c r="B9" s="4"/>
      <c r="E9" s="6"/>
      <c r="F9" s="6"/>
      <c r="L9" s="17"/>
    </row>
    <row r="10" spans="1:12" ht="38" customHeight="1" x14ac:dyDescent="0.35">
      <c r="A10" s="186" t="s">
        <v>49</v>
      </c>
      <c r="B10" s="186"/>
      <c r="C10" s="186"/>
      <c r="D10" s="186"/>
      <c r="E10" s="186"/>
      <c r="F10" s="6"/>
      <c r="G10" s="187" t="s">
        <v>50</v>
      </c>
      <c r="H10" s="187"/>
      <c r="I10" s="187"/>
      <c r="J10" s="187"/>
      <c r="K10" s="187"/>
      <c r="L10" s="17"/>
    </row>
    <row r="11" spans="1:12" s="3" customFormat="1" x14ac:dyDescent="0.35">
      <c r="A11" s="39" t="s">
        <v>43</v>
      </c>
      <c r="B11" s="39" t="s">
        <v>44</v>
      </c>
      <c r="C11" s="39" t="s">
        <v>45</v>
      </c>
      <c r="D11" s="39" t="s">
        <v>46</v>
      </c>
      <c r="E11" s="39" t="s">
        <v>47</v>
      </c>
      <c r="F11" s="33"/>
      <c r="G11" s="40" t="s">
        <v>43</v>
      </c>
      <c r="H11" s="40" t="s">
        <v>44</v>
      </c>
      <c r="I11" s="40" t="s">
        <v>45</v>
      </c>
      <c r="J11" s="40" t="s">
        <v>46</v>
      </c>
      <c r="K11" s="40" t="s">
        <v>47</v>
      </c>
      <c r="L11" s="34"/>
    </row>
    <row r="12" spans="1:12" ht="15.5" hidden="1" customHeight="1" x14ac:dyDescent="0.35">
      <c r="A12" s="24"/>
      <c r="B12" s="6"/>
      <c r="C12" s="6"/>
      <c r="D12" s="6"/>
      <c r="E12" s="6">
        <f>B4</f>
        <v>150000</v>
      </c>
      <c r="F12" s="6"/>
      <c r="L12" s="17"/>
    </row>
    <row r="13" spans="1:12" x14ac:dyDescent="0.35">
      <c r="A13" s="24">
        <v>1</v>
      </c>
      <c r="B13" s="103">
        <f>$B$8</f>
        <v>805.23243451820974</v>
      </c>
      <c r="C13" s="103">
        <f>E12*$B$5/$B$7</f>
        <v>625</v>
      </c>
      <c r="D13" s="103">
        <f>B13-C13</f>
        <v>180.23243451820974</v>
      </c>
      <c r="E13" s="103">
        <f>E12-D13</f>
        <v>149819.7675654818</v>
      </c>
      <c r="F13" s="6"/>
      <c r="G13" s="2">
        <v>1</v>
      </c>
      <c r="H13" s="101">
        <v>805.23243451820974</v>
      </c>
      <c r="I13" s="101">
        <v>625</v>
      </c>
      <c r="J13" s="101">
        <v>180.23243451820974</v>
      </c>
      <c r="K13" s="101">
        <v>149819.7675654818</v>
      </c>
      <c r="L13" s="17"/>
    </row>
    <row r="14" spans="1:12" x14ac:dyDescent="0.35">
      <c r="A14" s="24">
        <v>2</v>
      </c>
      <c r="B14" s="103">
        <f t="shared" ref="B14:B77" si="0">$B$8</f>
        <v>805.23243451820974</v>
      </c>
      <c r="C14" s="103">
        <f t="shared" ref="C14:C20" si="1">E13*$B$5/$B$7</f>
        <v>624.24903152284094</v>
      </c>
      <c r="D14" s="103">
        <f t="shared" ref="D14:D20" si="2">B14-C14</f>
        <v>180.98340299536881</v>
      </c>
      <c r="E14" s="103">
        <f t="shared" ref="E14:E20" si="3">E13-D14</f>
        <v>149638.78416248644</v>
      </c>
      <c r="F14" s="6"/>
      <c r="G14" s="2">
        <v>2</v>
      </c>
      <c r="H14" s="101">
        <v>805.23243451820974</v>
      </c>
      <c r="I14" s="101">
        <v>624.24903152284082</v>
      </c>
      <c r="J14" s="101">
        <v>180.98340299536892</v>
      </c>
      <c r="K14" s="101">
        <v>149638.78416248644</v>
      </c>
      <c r="L14" s="17"/>
    </row>
    <row r="15" spans="1:12" x14ac:dyDescent="0.35">
      <c r="A15" s="24">
        <v>3</v>
      </c>
      <c r="B15" s="103">
        <f t="shared" si="0"/>
        <v>805.23243451820974</v>
      </c>
      <c r="C15" s="103">
        <f t="shared" si="1"/>
        <v>623.49493401036023</v>
      </c>
      <c r="D15" s="103">
        <f t="shared" si="2"/>
        <v>181.73750050784952</v>
      </c>
      <c r="E15" s="103">
        <f t="shared" si="3"/>
        <v>149457.04666197859</v>
      </c>
      <c r="F15" s="6"/>
      <c r="G15" s="2">
        <v>3</v>
      </c>
      <c r="H15" s="101">
        <v>805.23243451820974</v>
      </c>
      <c r="I15" s="101">
        <v>623.49493401036023</v>
      </c>
      <c r="J15" s="101">
        <v>181.73750050784952</v>
      </c>
      <c r="K15" s="101">
        <v>149457.04666197859</v>
      </c>
      <c r="L15" s="17"/>
    </row>
    <row r="16" spans="1:12" x14ac:dyDescent="0.35">
      <c r="A16" s="24">
        <v>4</v>
      </c>
      <c r="B16" s="103">
        <f t="shared" si="0"/>
        <v>805.23243451820974</v>
      </c>
      <c r="C16" s="103">
        <f t="shared" si="1"/>
        <v>622.73769442491084</v>
      </c>
      <c r="D16" s="103">
        <f t="shared" si="2"/>
        <v>182.4947400932989</v>
      </c>
      <c r="E16" s="103">
        <f t="shared" si="3"/>
        <v>149274.55192188529</v>
      </c>
      <c r="F16" s="6"/>
      <c r="G16" s="3">
        <v>4</v>
      </c>
      <c r="H16" s="102">
        <v>805.23243451820974</v>
      </c>
      <c r="I16" s="102">
        <v>622.73769442491084</v>
      </c>
      <c r="J16" s="102">
        <v>182.4947400932989</v>
      </c>
      <c r="K16" s="102">
        <v>149274.55192188529</v>
      </c>
      <c r="L16" s="17"/>
    </row>
    <row r="17" spans="1:12" x14ac:dyDescent="0.35">
      <c r="A17" s="24">
        <v>5</v>
      </c>
      <c r="B17" s="103">
        <f t="shared" si="0"/>
        <v>805.23243451820974</v>
      </c>
      <c r="C17" s="103">
        <f t="shared" si="1"/>
        <v>621.97729967452199</v>
      </c>
      <c r="D17" s="103">
        <f t="shared" si="2"/>
        <v>183.25513484368776</v>
      </c>
      <c r="E17" s="103">
        <f t="shared" si="3"/>
        <v>149091.29678704159</v>
      </c>
      <c r="F17" s="6"/>
      <c r="G17" s="2">
        <v>5</v>
      </c>
      <c r="H17" s="101">
        <v>805.23243451820974</v>
      </c>
      <c r="I17" s="101">
        <v>621.9772996745221</v>
      </c>
      <c r="J17" s="101">
        <v>183.25513484368764</v>
      </c>
      <c r="K17" s="101">
        <v>149091.29678704159</v>
      </c>
      <c r="L17" s="17"/>
    </row>
    <row r="18" spans="1:12" x14ac:dyDescent="0.35">
      <c r="A18" s="24">
        <v>6</v>
      </c>
      <c r="B18" s="103">
        <f t="shared" si="0"/>
        <v>805.23243451820974</v>
      </c>
      <c r="C18" s="103">
        <f t="shared" si="1"/>
        <v>621.2137366126733</v>
      </c>
      <c r="D18" s="103">
        <f t="shared" si="2"/>
        <v>184.01869790553644</v>
      </c>
      <c r="E18" s="103">
        <f t="shared" si="3"/>
        <v>148907.27808913606</v>
      </c>
      <c r="F18" s="6"/>
      <c r="G18" s="2">
        <v>6</v>
      </c>
      <c r="H18" s="101">
        <v>805.23243451820974</v>
      </c>
      <c r="I18" s="101">
        <v>621.2137366126733</v>
      </c>
      <c r="J18" s="101">
        <v>184.01869790553644</v>
      </c>
      <c r="K18" s="101">
        <v>148907.27808913606</v>
      </c>
      <c r="L18" s="17"/>
    </row>
    <row r="19" spans="1:12" x14ac:dyDescent="0.35">
      <c r="A19" s="24">
        <v>7</v>
      </c>
      <c r="B19" s="103">
        <f t="shared" si="0"/>
        <v>805.23243451820974</v>
      </c>
      <c r="C19" s="103">
        <f t="shared" si="1"/>
        <v>620.44699203806692</v>
      </c>
      <c r="D19" s="103">
        <f t="shared" si="2"/>
        <v>184.78544248014282</v>
      </c>
      <c r="E19" s="103">
        <f t="shared" si="3"/>
        <v>148722.49264665591</v>
      </c>
      <c r="F19" s="6"/>
      <c r="G19" s="2">
        <v>7</v>
      </c>
      <c r="H19" s="101">
        <v>805.23243451820974</v>
      </c>
      <c r="I19" s="101">
        <v>620.44699203806692</v>
      </c>
      <c r="J19" s="101">
        <v>184.78544248014282</v>
      </c>
      <c r="K19" s="101">
        <v>148722.49264665591</v>
      </c>
      <c r="L19" s="17"/>
    </row>
    <row r="20" spans="1:12" x14ac:dyDescent="0.35">
      <c r="A20" s="24">
        <v>8</v>
      </c>
      <c r="B20" s="103">
        <f t="shared" si="0"/>
        <v>805.23243451820974</v>
      </c>
      <c r="C20" s="103">
        <f t="shared" si="1"/>
        <v>619.67705269439966</v>
      </c>
      <c r="D20" s="103">
        <f t="shared" si="2"/>
        <v>185.55538182381008</v>
      </c>
      <c r="E20" s="103">
        <f t="shared" si="3"/>
        <v>148536.93726483212</v>
      </c>
      <c r="F20" s="6"/>
      <c r="G20" s="2">
        <v>8</v>
      </c>
      <c r="H20" s="101">
        <v>805.23243451820974</v>
      </c>
      <c r="I20" s="101">
        <v>619.67705269439966</v>
      </c>
      <c r="J20" s="101">
        <v>185.55538182381008</v>
      </c>
      <c r="K20" s="101">
        <v>148536.93726483212</v>
      </c>
      <c r="L20" s="17"/>
    </row>
    <row r="21" spans="1:12" x14ac:dyDescent="0.35">
      <c r="A21" s="24">
        <v>9</v>
      </c>
      <c r="B21" s="103">
        <f t="shared" si="0"/>
        <v>805.23243451820974</v>
      </c>
      <c r="C21" s="103">
        <f t="shared" ref="C21:C25" si="4">E20*$B$5/$B$7</f>
        <v>618.90390527013381</v>
      </c>
      <c r="D21" s="103">
        <f t="shared" ref="D21:D25" si="5">B21-C21</f>
        <v>186.32852924807594</v>
      </c>
      <c r="E21" s="103">
        <f t="shared" ref="E21:E25" si="6">E20-D21</f>
        <v>148350.60873558404</v>
      </c>
      <c r="F21" s="6"/>
      <c r="G21" s="2">
        <v>9</v>
      </c>
      <c r="H21" s="101">
        <v>805.23243451820974</v>
      </c>
      <c r="I21" s="101">
        <v>618.90390527013381</v>
      </c>
      <c r="J21" s="101">
        <v>186.32852924807594</v>
      </c>
      <c r="K21" s="101">
        <v>148350.60873558404</v>
      </c>
      <c r="L21" s="17"/>
    </row>
    <row r="22" spans="1:12" x14ac:dyDescent="0.35">
      <c r="A22" s="24">
        <v>10</v>
      </c>
      <c r="B22" s="103">
        <f t="shared" si="0"/>
        <v>805.23243451820974</v>
      </c>
      <c r="C22" s="103">
        <f t="shared" si="4"/>
        <v>618.1275363982669</v>
      </c>
      <c r="D22" s="103">
        <f t="shared" si="5"/>
        <v>187.10489811994285</v>
      </c>
      <c r="E22" s="103">
        <f t="shared" si="6"/>
        <v>148163.50383746409</v>
      </c>
      <c r="F22" s="6"/>
      <c r="G22" s="2">
        <v>10</v>
      </c>
      <c r="H22" s="101">
        <v>805.23243451820974</v>
      </c>
      <c r="I22" s="101">
        <v>618.1275363982669</v>
      </c>
      <c r="J22" s="101">
        <v>187.10489811994285</v>
      </c>
      <c r="K22" s="101">
        <v>148163.50383746409</v>
      </c>
      <c r="L22" s="17"/>
    </row>
    <row r="23" spans="1:12" x14ac:dyDescent="0.35">
      <c r="A23" s="24">
        <v>11</v>
      </c>
      <c r="B23" s="103">
        <f t="shared" si="0"/>
        <v>805.23243451820974</v>
      </c>
      <c r="C23" s="103">
        <f t="shared" si="4"/>
        <v>617.3479326561004</v>
      </c>
      <c r="D23" s="103">
        <f t="shared" si="5"/>
        <v>187.88450186210935</v>
      </c>
      <c r="E23" s="103">
        <f t="shared" si="6"/>
        <v>147975.61933560198</v>
      </c>
      <c r="F23" s="6"/>
      <c r="G23" s="2">
        <v>11</v>
      </c>
      <c r="H23" s="101">
        <v>805.23243451820974</v>
      </c>
      <c r="I23" s="101">
        <v>617.3479326561004</v>
      </c>
      <c r="J23" s="101">
        <v>187.88450186210935</v>
      </c>
      <c r="K23" s="101">
        <v>147975.61933560198</v>
      </c>
      <c r="L23" s="17"/>
    </row>
    <row r="24" spans="1:12" x14ac:dyDescent="0.35">
      <c r="A24" s="24">
        <v>12</v>
      </c>
      <c r="B24" s="103">
        <f t="shared" si="0"/>
        <v>805.23243451820974</v>
      </c>
      <c r="C24" s="103">
        <f t="shared" si="4"/>
        <v>616.56508056500832</v>
      </c>
      <c r="D24" s="103">
        <f t="shared" si="5"/>
        <v>188.66735395320143</v>
      </c>
      <c r="E24" s="103">
        <f t="shared" si="6"/>
        <v>147786.95198164877</v>
      </c>
      <c r="F24" s="6"/>
      <c r="G24" s="2">
        <v>12</v>
      </c>
      <c r="H24" s="101">
        <v>805.23243451820974</v>
      </c>
      <c r="I24" s="101">
        <v>616.56508056500832</v>
      </c>
      <c r="J24" s="101">
        <v>188.66735395320143</v>
      </c>
      <c r="K24" s="101">
        <v>147786.95198164877</v>
      </c>
      <c r="L24" s="17"/>
    </row>
    <row r="25" spans="1:12" x14ac:dyDescent="0.35">
      <c r="A25" s="24">
        <v>13</v>
      </c>
      <c r="B25" s="103">
        <f t="shared" si="0"/>
        <v>805.23243451820974</v>
      </c>
      <c r="C25" s="103">
        <f t="shared" si="4"/>
        <v>615.77896659020325</v>
      </c>
      <c r="D25" s="103">
        <f t="shared" si="5"/>
        <v>189.45346792800649</v>
      </c>
      <c r="E25" s="103">
        <f t="shared" si="6"/>
        <v>147597.49851372075</v>
      </c>
      <c r="F25" s="6"/>
      <c r="G25" s="2">
        <v>13</v>
      </c>
      <c r="H25" s="101">
        <v>805.23243451820974</v>
      </c>
      <c r="I25" s="101">
        <v>615.77896659020325</v>
      </c>
      <c r="J25" s="101">
        <v>189.45346792800649</v>
      </c>
      <c r="K25" s="101">
        <v>147597.49851372075</v>
      </c>
      <c r="L25" s="17"/>
    </row>
    <row r="26" spans="1:12" x14ac:dyDescent="0.35">
      <c r="A26" s="24">
        <v>14</v>
      </c>
      <c r="B26" s="103">
        <f t="shared" si="0"/>
        <v>805.23243451820974</v>
      </c>
      <c r="C26" s="103">
        <f t="shared" ref="C26:C89" si="7">E25*$B$5/$B$7</f>
        <v>614.98957714050323</v>
      </c>
      <c r="D26" s="103">
        <f t="shared" ref="D26:D89" si="8">B26-C26</f>
        <v>190.24285737770651</v>
      </c>
      <c r="E26" s="103">
        <f t="shared" ref="E26:E89" si="9">E25-D26</f>
        <v>147407.25565634304</v>
      </c>
      <c r="F26" s="6"/>
      <c r="G26" s="2">
        <v>14</v>
      </c>
      <c r="H26" s="101">
        <v>805.23243451820974</v>
      </c>
      <c r="I26" s="101">
        <v>614.98957714050323</v>
      </c>
      <c r="J26" s="101">
        <v>190.24285737770651</v>
      </c>
      <c r="K26" s="101">
        <v>147407.25565634304</v>
      </c>
      <c r="L26" s="17"/>
    </row>
    <row r="27" spans="1:12" x14ac:dyDescent="0.35">
      <c r="A27" s="24">
        <v>15</v>
      </c>
      <c r="B27" s="103">
        <f t="shared" si="0"/>
        <v>805.23243451820974</v>
      </c>
      <c r="C27" s="103">
        <f t="shared" si="7"/>
        <v>614.196898568096</v>
      </c>
      <c r="D27" s="103">
        <f t="shared" si="8"/>
        <v>191.03553595011374</v>
      </c>
      <c r="E27" s="103">
        <f t="shared" si="9"/>
        <v>147216.22012039291</v>
      </c>
      <c r="F27" s="6"/>
      <c r="G27" s="2">
        <v>15</v>
      </c>
      <c r="H27" s="101">
        <v>805.23243451820974</v>
      </c>
      <c r="I27" s="101">
        <v>614.196898568096</v>
      </c>
      <c r="J27" s="101">
        <v>191.03553595011374</v>
      </c>
      <c r="K27" s="101">
        <v>147216.22012039291</v>
      </c>
      <c r="L27" s="17"/>
    </row>
    <row r="28" spans="1:12" x14ac:dyDescent="0.35">
      <c r="A28" s="24">
        <v>16</v>
      </c>
      <c r="B28" s="103">
        <f t="shared" si="0"/>
        <v>805.23243451820974</v>
      </c>
      <c r="C28" s="103">
        <f t="shared" si="7"/>
        <v>613.40091716830386</v>
      </c>
      <c r="D28" s="103">
        <f t="shared" si="8"/>
        <v>191.83151734990588</v>
      </c>
      <c r="E28" s="103">
        <f t="shared" si="9"/>
        <v>147024.38860304301</v>
      </c>
      <c r="F28" s="6"/>
      <c r="G28" s="2">
        <v>16</v>
      </c>
      <c r="H28" s="101">
        <v>805.23243451820974</v>
      </c>
      <c r="I28" s="101">
        <v>613.40091716830386</v>
      </c>
      <c r="J28" s="101">
        <v>191.83151734990588</v>
      </c>
      <c r="K28" s="101">
        <v>147024.38860304301</v>
      </c>
      <c r="L28" s="17"/>
    </row>
    <row r="29" spans="1:12" x14ac:dyDescent="0.35">
      <c r="A29" s="24">
        <v>17</v>
      </c>
      <c r="B29" s="103">
        <f t="shared" si="0"/>
        <v>805.23243451820974</v>
      </c>
      <c r="C29" s="103">
        <f t="shared" si="7"/>
        <v>612.6016191793459</v>
      </c>
      <c r="D29" s="103">
        <f t="shared" si="8"/>
        <v>192.63081533886384</v>
      </c>
      <c r="E29" s="103">
        <f t="shared" si="9"/>
        <v>146831.75778770415</v>
      </c>
      <c r="F29" s="6"/>
      <c r="G29" s="2">
        <v>17</v>
      </c>
      <c r="H29" s="101">
        <v>805.23243451820974</v>
      </c>
      <c r="I29" s="101">
        <v>612.6016191793459</v>
      </c>
      <c r="J29" s="101">
        <v>192.63081533886384</v>
      </c>
      <c r="K29" s="101">
        <v>146831.75778770415</v>
      </c>
      <c r="L29" s="17"/>
    </row>
    <row r="30" spans="1:12" x14ac:dyDescent="0.35">
      <c r="A30" s="24">
        <v>18</v>
      </c>
      <c r="B30" s="103">
        <f t="shared" si="0"/>
        <v>805.23243451820974</v>
      </c>
      <c r="C30" s="103">
        <f t="shared" si="7"/>
        <v>611.79899078210065</v>
      </c>
      <c r="D30" s="103">
        <f t="shared" si="8"/>
        <v>193.4334437361091</v>
      </c>
      <c r="E30" s="103">
        <f t="shared" si="9"/>
        <v>146638.32434396804</v>
      </c>
      <c r="F30" s="6"/>
      <c r="G30" s="2">
        <v>18</v>
      </c>
      <c r="H30" s="101">
        <v>805.23243451820974</v>
      </c>
      <c r="I30" s="101">
        <v>611.79899078210065</v>
      </c>
      <c r="J30" s="101">
        <v>193.4334437361091</v>
      </c>
      <c r="K30" s="101">
        <v>146638.32434396804</v>
      </c>
      <c r="L30" s="17"/>
    </row>
    <row r="31" spans="1:12" x14ac:dyDescent="0.35">
      <c r="A31" s="24">
        <v>19</v>
      </c>
      <c r="B31" s="103">
        <f t="shared" si="0"/>
        <v>805.23243451820974</v>
      </c>
      <c r="C31" s="103">
        <f t="shared" si="7"/>
        <v>610.99301809986684</v>
      </c>
      <c r="D31" s="103">
        <f t="shared" si="8"/>
        <v>194.2394164183429</v>
      </c>
      <c r="E31" s="103">
        <f t="shared" si="9"/>
        <v>146444.0849275497</v>
      </c>
      <c r="F31" s="6"/>
      <c r="G31" s="2">
        <v>19</v>
      </c>
      <c r="H31" s="101">
        <v>805.23243451820974</v>
      </c>
      <c r="I31" s="101">
        <v>610.99301809986684</v>
      </c>
      <c r="J31" s="101">
        <v>194.2394164183429</v>
      </c>
      <c r="K31" s="101">
        <v>146444.0849275497</v>
      </c>
      <c r="L31" s="17"/>
    </row>
    <row r="32" spans="1:12" x14ac:dyDescent="0.35">
      <c r="A32" s="24">
        <v>20</v>
      </c>
      <c r="B32" s="103">
        <f t="shared" si="0"/>
        <v>805.23243451820974</v>
      </c>
      <c r="C32" s="103">
        <f t="shared" si="7"/>
        <v>610.18368719812372</v>
      </c>
      <c r="D32" s="103">
        <f t="shared" si="8"/>
        <v>195.04874732008602</v>
      </c>
      <c r="E32" s="103">
        <f t="shared" si="9"/>
        <v>146249.03618022962</v>
      </c>
      <c r="F32" s="6"/>
      <c r="G32" s="2">
        <v>20</v>
      </c>
      <c r="H32" s="101">
        <v>805.23243451820974</v>
      </c>
      <c r="I32" s="101">
        <v>610.18368719812383</v>
      </c>
      <c r="J32" s="101">
        <v>195.04874732008591</v>
      </c>
      <c r="K32" s="101">
        <v>146249.03618022962</v>
      </c>
      <c r="L32" s="17"/>
    </row>
    <row r="33" spans="1:12" x14ac:dyDescent="0.35">
      <c r="A33" s="24">
        <v>21</v>
      </c>
      <c r="B33" s="103">
        <f t="shared" si="0"/>
        <v>805.23243451820974</v>
      </c>
      <c r="C33" s="103">
        <f t="shared" si="7"/>
        <v>609.37098408429017</v>
      </c>
      <c r="D33" s="103">
        <f t="shared" si="8"/>
        <v>195.86145043391957</v>
      </c>
      <c r="E33" s="103">
        <f t="shared" si="9"/>
        <v>146053.17472979572</v>
      </c>
      <c r="F33" s="6"/>
      <c r="G33" s="2">
        <v>21</v>
      </c>
      <c r="H33" s="101">
        <v>805.23243451820974</v>
      </c>
      <c r="I33" s="101">
        <v>609.37098408429017</v>
      </c>
      <c r="J33" s="101">
        <v>195.86145043391957</v>
      </c>
      <c r="K33" s="101">
        <v>146053.17472979572</v>
      </c>
      <c r="L33" s="17"/>
    </row>
    <row r="34" spans="1:12" x14ac:dyDescent="0.35">
      <c r="A34" s="24">
        <v>22</v>
      </c>
      <c r="B34" s="103">
        <f t="shared" si="0"/>
        <v>805.23243451820974</v>
      </c>
      <c r="C34" s="103">
        <f t="shared" si="7"/>
        <v>608.55489470748216</v>
      </c>
      <c r="D34" s="103">
        <f t="shared" si="8"/>
        <v>196.67753981072758</v>
      </c>
      <c r="E34" s="103">
        <f t="shared" si="9"/>
        <v>145856.49718998498</v>
      </c>
      <c r="F34" s="6"/>
      <c r="G34" s="2">
        <v>22</v>
      </c>
      <c r="H34" s="101">
        <v>805.23243451820974</v>
      </c>
      <c r="I34" s="101">
        <v>608.55489470748216</v>
      </c>
      <c r="J34" s="101">
        <v>196.67753981072758</v>
      </c>
      <c r="K34" s="101">
        <v>145856.49718998498</v>
      </c>
      <c r="L34" s="17"/>
    </row>
    <row r="35" spans="1:12" x14ac:dyDescent="0.35">
      <c r="A35" s="24">
        <v>23</v>
      </c>
      <c r="B35" s="103">
        <f t="shared" si="0"/>
        <v>805.23243451820974</v>
      </c>
      <c r="C35" s="103">
        <f t="shared" si="7"/>
        <v>607.73540495827081</v>
      </c>
      <c r="D35" s="103">
        <f t="shared" si="8"/>
        <v>197.49702955993894</v>
      </c>
      <c r="E35" s="103">
        <f t="shared" si="9"/>
        <v>145659.00016042503</v>
      </c>
      <c r="F35" s="6"/>
      <c r="G35" s="2">
        <v>23</v>
      </c>
      <c r="H35" s="101">
        <v>805.23243451820974</v>
      </c>
      <c r="I35" s="101">
        <v>607.73540495827081</v>
      </c>
      <c r="J35" s="101">
        <v>197.49702955993894</v>
      </c>
      <c r="K35" s="101">
        <v>145659.00016042503</v>
      </c>
      <c r="L35" s="17"/>
    </row>
    <row r="36" spans="1:12" x14ac:dyDescent="0.35">
      <c r="A36" s="24">
        <v>24</v>
      </c>
      <c r="B36" s="103">
        <f t="shared" si="0"/>
        <v>805.23243451820974</v>
      </c>
      <c r="C36" s="103">
        <f t="shared" si="7"/>
        <v>606.9125006684377</v>
      </c>
      <c r="D36" s="103">
        <f t="shared" si="8"/>
        <v>198.31993384977204</v>
      </c>
      <c r="E36" s="103">
        <f t="shared" si="9"/>
        <v>145460.68022657526</v>
      </c>
      <c r="F36" s="6"/>
      <c r="G36" s="2">
        <v>24</v>
      </c>
      <c r="H36" s="101">
        <v>805.23243451820974</v>
      </c>
      <c r="I36" s="101">
        <v>606.9125006684377</v>
      </c>
      <c r="J36" s="101">
        <v>198.31993384977204</v>
      </c>
      <c r="K36" s="101">
        <v>145460.68022657526</v>
      </c>
      <c r="L36" s="17"/>
    </row>
    <row r="37" spans="1:12" x14ac:dyDescent="0.35">
      <c r="A37" s="24">
        <v>25</v>
      </c>
      <c r="B37" s="103">
        <f t="shared" si="0"/>
        <v>805.23243451820974</v>
      </c>
      <c r="C37" s="103">
        <f t="shared" si="7"/>
        <v>606.08616761073029</v>
      </c>
      <c r="D37" s="103">
        <f t="shared" si="8"/>
        <v>199.14626690747946</v>
      </c>
      <c r="E37" s="103">
        <f t="shared" si="9"/>
        <v>145261.53395966778</v>
      </c>
      <c r="F37" s="6"/>
      <c r="G37" s="2">
        <v>25</v>
      </c>
      <c r="H37" s="101">
        <v>805.23243451820974</v>
      </c>
      <c r="I37" s="101">
        <v>606.08616761073029</v>
      </c>
      <c r="J37" s="101">
        <v>199.14626690747946</v>
      </c>
      <c r="K37" s="101">
        <v>145261.53395966778</v>
      </c>
      <c r="L37" s="17"/>
    </row>
    <row r="38" spans="1:12" x14ac:dyDescent="0.35">
      <c r="A38" s="24">
        <v>26</v>
      </c>
      <c r="B38" s="103">
        <f t="shared" si="0"/>
        <v>805.23243451820974</v>
      </c>
      <c r="C38" s="103">
        <f t="shared" si="7"/>
        <v>605.25639149861581</v>
      </c>
      <c r="D38" s="103">
        <f t="shared" si="8"/>
        <v>199.97604301959393</v>
      </c>
      <c r="E38" s="103">
        <f t="shared" si="9"/>
        <v>145061.55791664819</v>
      </c>
      <c r="F38" s="6"/>
      <c r="G38" s="2">
        <v>26</v>
      </c>
      <c r="H38" s="101">
        <v>805.23243451820974</v>
      </c>
      <c r="I38" s="101">
        <v>605.25639149861581</v>
      </c>
      <c r="J38" s="101">
        <v>199.97604301959393</v>
      </c>
      <c r="K38" s="101">
        <v>145061.55791664819</v>
      </c>
      <c r="L38" s="17"/>
    </row>
    <row r="39" spans="1:12" x14ac:dyDescent="0.35">
      <c r="A39" s="24">
        <v>27</v>
      </c>
      <c r="B39" s="103">
        <f t="shared" si="0"/>
        <v>805.23243451820974</v>
      </c>
      <c r="C39" s="103">
        <f t="shared" si="7"/>
        <v>604.4231579860342</v>
      </c>
      <c r="D39" s="103">
        <f t="shared" si="8"/>
        <v>200.80927653217555</v>
      </c>
      <c r="E39" s="103">
        <f t="shared" si="9"/>
        <v>144860.74864011601</v>
      </c>
      <c r="F39" s="6"/>
      <c r="G39" s="2">
        <v>27</v>
      </c>
      <c r="H39" s="101">
        <v>805.23243451820974</v>
      </c>
      <c r="I39" s="101">
        <v>604.4231579860342</v>
      </c>
      <c r="J39" s="101">
        <v>200.80927653217555</v>
      </c>
      <c r="K39" s="101">
        <v>144860.74864011601</v>
      </c>
      <c r="L39" s="17"/>
    </row>
    <row r="40" spans="1:12" x14ac:dyDescent="0.35">
      <c r="A40" s="24">
        <v>28</v>
      </c>
      <c r="B40" s="103">
        <f t="shared" si="0"/>
        <v>805.23243451820974</v>
      </c>
      <c r="C40" s="103">
        <f t="shared" si="7"/>
        <v>603.58645266715007</v>
      </c>
      <c r="D40" s="103">
        <f t="shared" si="8"/>
        <v>201.64598185105967</v>
      </c>
      <c r="E40" s="103">
        <f t="shared" si="9"/>
        <v>144659.10265826495</v>
      </c>
      <c r="F40" s="6"/>
      <c r="G40" s="2">
        <v>28</v>
      </c>
      <c r="H40" s="101">
        <v>805.23243451820974</v>
      </c>
      <c r="I40" s="101">
        <v>603.58645266715007</v>
      </c>
      <c r="J40" s="101">
        <v>201.64598185105967</v>
      </c>
      <c r="K40" s="101">
        <v>144659.10265826495</v>
      </c>
      <c r="L40" s="17"/>
    </row>
    <row r="41" spans="1:12" x14ac:dyDescent="0.35">
      <c r="A41" s="24">
        <v>29</v>
      </c>
      <c r="B41" s="103">
        <f t="shared" si="0"/>
        <v>805.23243451820974</v>
      </c>
      <c r="C41" s="103">
        <f t="shared" si="7"/>
        <v>602.74626107610402</v>
      </c>
      <c r="D41" s="103">
        <f t="shared" si="8"/>
        <v>202.48617344210572</v>
      </c>
      <c r="E41" s="103">
        <f t="shared" si="9"/>
        <v>144456.61648482285</v>
      </c>
      <c r="F41" s="6"/>
      <c r="G41" s="2">
        <v>29</v>
      </c>
      <c r="H41" s="101">
        <v>805.23243451820974</v>
      </c>
      <c r="I41" s="101">
        <v>602.74626107610402</v>
      </c>
      <c r="J41" s="101">
        <v>202.48617344210572</v>
      </c>
      <c r="K41" s="101">
        <v>144456.61648482285</v>
      </c>
      <c r="L41" s="17"/>
    </row>
    <row r="42" spans="1:12" x14ac:dyDescent="0.35">
      <c r="A42" s="24">
        <v>30</v>
      </c>
      <c r="B42" s="103">
        <f t="shared" si="0"/>
        <v>805.23243451820974</v>
      </c>
      <c r="C42" s="103">
        <f t="shared" si="7"/>
        <v>601.90256868676192</v>
      </c>
      <c r="D42" s="103">
        <f t="shared" si="8"/>
        <v>203.32986583144782</v>
      </c>
      <c r="E42" s="103">
        <f t="shared" si="9"/>
        <v>144253.28661899141</v>
      </c>
      <c r="F42" s="6"/>
      <c r="G42" s="2">
        <v>30</v>
      </c>
      <c r="H42" s="101">
        <v>805.23243451820974</v>
      </c>
      <c r="I42" s="101">
        <v>601.90256868676192</v>
      </c>
      <c r="J42" s="101">
        <v>203.32986583144782</v>
      </c>
      <c r="K42" s="101">
        <v>144253.28661899141</v>
      </c>
      <c r="L42" s="17"/>
    </row>
    <row r="43" spans="1:12" x14ac:dyDescent="0.35">
      <c r="A43" s="24">
        <v>31</v>
      </c>
      <c r="B43" s="103">
        <f t="shared" si="0"/>
        <v>805.23243451820974</v>
      </c>
      <c r="C43" s="103">
        <f t="shared" si="7"/>
        <v>601.05536091246415</v>
      </c>
      <c r="D43" s="103">
        <f t="shared" si="8"/>
        <v>204.17707360574559</v>
      </c>
      <c r="E43" s="103">
        <f t="shared" si="9"/>
        <v>144049.10954538567</v>
      </c>
      <c r="F43" s="6"/>
      <c r="G43" s="2">
        <v>31</v>
      </c>
      <c r="H43" s="101">
        <v>805.23243451820974</v>
      </c>
      <c r="I43" s="101">
        <v>601.05536091246427</v>
      </c>
      <c r="J43" s="101">
        <v>204.17707360574548</v>
      </c>
      <c r="K43" s="101">
        <v>144049.10954538567</v>
      </c>
      <c r="L43" s="17"/>
    </row>
    <row r="44" spans="1:12" x14ac:dyDescent="0.35">
      <c r="A44" s="24">
        <v>32</v>
      </c>
      <c r="B44" s="103">
        <f t="shared" si="0"/>
        <v>805.23243451820974</v>
      </c>
      <c r="C44" s="103">
        <f t="shared" si="7"/>
        <v>600.20462310577363</v>
      </c>
      <c r="D44" s="103">
        <f t="shared" si="8"/>
        <v>205.02781141243611</v>
      </c>
      <c r="E44" s="103">
        <f t="shared" si="9"/>
        <v>143844.08173397323</v>
      </c>
      <c r="F44" s="6"/>
      <c r="G44" s="2">
        <v>32</v>
      </c>
      <c r="H44" s="101">
        <v>805.23243451820974</v>
      </c>
      <c r="I44" s="101">
        <v>600.20462310577363</v>
      </c>
      <c r="J44" s="101">
        <v>205.02781141243611</v>
      </c>
      <c r="K44" s="101">
        <v>143844.08173397323</v>
      </c>
      <c r="L44" s="17"/>
    </row>
    <row r="45" spans="1:12" x14ac:dyDescent="0.35">
      <c r="A45" s="24">
        <v>33</v>
      </c>
      <c r="B45" s="103">
        <f t="shared" si="0"/>
        <v>805.23243451820974</v>
      </c>
      <c r="C45" s="103">
        <f t="shared" si="7"/>
        <v>599.35034055822177</v>
      </c>
      <c r="D45" s="103">
        <f t="shared" si="8"/>
        <v>205.88209395998797</v>
      </c>
      <c r="E45" s="103">
        <f t="shared" si="9"/>
        <v>143638.19964001325</v>
      </c>
      <c r="F45" s="6"/>
      <c r="G45" s="2">
        <v>33</v>
      </c>
      <c r="H45" s="101">
        <v>805.23243451820974</v>
      </c>
      <c r="I45" s="101">
        <v>599.35034055822177</v>
      </c>
      <c r="J45" s="101">
        <v>205.88209395998797</v>
      </c>
      <c r="K45" s="101">
        <v>143638.19964001325</v>
      </c>
      <c r="L45" s="17"/>
    </row>
    <row r="46" spans="1:12" x14ac:dyDescent="0.35">
      <c r="A46" s="24">
        <v>34</v>
      </c>
      <c r="B46" s="103">
        <f t="shared" si="0"/>
        <v>805.23243451820974</v>
      </c>
      <c r="C46" s="103">
        <f t="shared" si="7"/>
        <v>598.49249850005526</v>
      </c>
      <c r="D46" s="103">
        <f t="shared" si="8"/>
        <v>206.73993601815448</v>
      </c>
      <c r="E46" s="103">
        <f t="shared" si="9"/>
        <v>143431.45970399509</v>
      </c>
      <c r="F46" s="6"/>
      <c r="G46" s="2">
        <v>34</v>
      </c>
      <c r="H46" s="101">
        <v>805.23243451820974</v>
      </c>
      <c r="I46" s="101">
        <v>598.49249850005526</v>
      </c>
      <c r="J46" s="101">
        <v>206.73993601815448</v>
      </c>
      <c r="K46" s="101">
        <v>143431.45970399509</v>
      </c>
      <c r="L46" s="17"/>
    </row>
    <row r="47" spans="1:12" x14ac:dyDescent="0.35">
      <c r="A47" s="24">
        <v>35</v>
      </c>
      <c r="B47" s="103">
        <f t="shared" si="0"/>
        <v>805.23243451820974</v>
      </c>
      <c r="C47" s="103">
        <f t="shared" si="7"/>
        <v>597.63108209997961</v>
      </c>
      <c r="D47" s="103">
        <f t="shared" si="8"/>
        <v>207.60135241823014</v>
      </c>
      <c r="E47" s="103">
        <f t="shared" si="9"/>
        <v>143223.85835157687</v>
      </c>
      <c r="F47" s="6"/>
      <c r="G47" s="2">
        <v>35</v>
      </c>
      <c r="H47" s="101">
        <v>805.23243451820974</v>
      </c>
      <c r="I47" s="101">
        <v>597.63108209997961</v>
      </c>
      <c r="J47" s="101">
        <v>207.60135241823014</v>
      </c>
      <c r="K47" s="101">
        <v>143223.85835157687</v>
      </c>
      <c r="L47" s="17"/>
    </row>
    <row r="48" spans="1:12" x14ac:dyDescent="0.35">
      <c r="A48" s="24">
        <v>36</v>
      </c>
      <c r="B48" s="103">
        <f t="shared" si="0"/>
        <v>805.23243451820974</v>
      </c>
      <c r="C48" s="103">
        <f t="shared" si="7"/>
        <v>596.76607646490368</v>
      </c>
      <c r="D48" s="103">
        <f t="shared" si="8"/>
        <v>208.46635805330607</v>
      </c>
      <c r="E48" s="103">
        <f t="shared" si="9"/>
        <v>143015.39199352358</v>
      </c>
      <c r="F48" s="6"/>
      <c r="G48" s="2">
        <v>36</v>
      </c>
      <c r="H48" s="101">
        <v>805.23243451820974</v>
      </c>
      <c r="I48" s="101">
        <v>596.76607646490368</v>
      </c>
      <c r="J48" s="101">
        <v>208.46635805330607</v>
      </c>
      <c r="K48" s="101">
        <v>143015.39199352358</v>
      </c>
      <c r="L48" s="17"/>
    </row>
    <row r="49" spans="1:12" x14ac:dyDescent="0.35">
      <c r="A49" s="24">
        <v>37</v>
      </c>
      <c r="B49" s="103">
        <f t="shared" si="0"/>
        <v>805.23243451820974</v>
      </c>
      <c r="C49" s="103">
        <f t="shared" si="7"/>
        <v>595.89746663968162</v>
      </c>
      <c r="D49" s="103">
        <f t="shared" si="8"/>
        <v>209.33496787852812</v>
      </c>
      <c r="E49" s="103">
        <f t="shared" si="9"/>
        <v>142806.05702564504</v>
      </c>
      <c r="F49" s="6"/>
      <c r="G49" s="2">
        <v>37</v>
      </c>
      <c r="H49" s="101">
        <v>805.23243451820974</v>
      </c>
      <c r="I49" s="101">
        <v>595.89746663968162</v>
      </c>
      <c r="J49" s="101">
        <v>209.33496787852812</v>
      </c>
      <c r="K49" s="101">
        <v>142806.05702564504</v>
      </c>
      <c r="L49" s="17"/>
    </row>
    <row r="50" spans="1:12" x14ac:dyDescent="0.35">
      <c r="A50" s="24">
        <v>38</v>
      </c>
      <c r="B50" s="103">
        <f t="shared" si="0"/>
        <v>805.23243451820974</v>
      </c>
      <c r="C50" s="103">
        <f t="shared" si="7"/>
        <v>595.02523760685438</v>
      </c>
      <c r="D50" s="103">
        <f t="shared" si="8"/>
        <v>210.20719691135537</v>
      </c>
      <c r="E50" s="103">
        <f t="shared" si="9"/>
        <v>142595.84982873368</v>
      </c>
      <c r="F50" s="6"/>
      <c r="G50" s="2">
        <v>38</v>
      </c>
      <c r="H50" s="101">
        <v>805.23243451820974</v>
      </c>
      <c r="I50" s="101">
        <v>595.02523760685438</v>
      </c>
      <c r="J50" s="101">
        <v>210.20719691135537</v>
      </c>
      <c r="K50" s="101">
        <v>142595.84982873368</v>
      </c>
      <c r="L50" s="17"/>
    </row>
    <row r="51" spans="1:12" x14ac:dyDescent="0.35">
      <c r="A51" s="24">
        <v>39</v>
      </c>
      <c r="B51" s="103">
        <f t="shared" si="0"/>
        <v>805.23243451820974</v>
      </c>
      <c r="C51" s="103">
        <f t="shared" si="7"/>
        <v>594.14937428639041</v>
      </c>
      <c r="D51" s="103">
        <f t="shared" si="8"/>
        <v>211.08306023181933</v>
      </c>
      <c r="E51" s="103">
        <f t="shared" si="9"/>
        <v>142384.76676850187</v>
      </c>
      <c r="F51" s="6"/>
      <c r="G51" s="2">
        <v>39</v>
      </c>
      <c r="H51" s="101">
        <v>805.23243451820974</v>
      </c>
      <c r="I51" s="101">
        <v>594.14937428639041</v>
      </c>
      <c r="J51" s="101">
        <v>211.08306023181933</v>
      </c>
      <c r="K51" s="101">
        <v>142384.76676850187</v>
      </c>
      <c r="L51" s="17"/>
    </row>
    <row r="52" spans="1:12" x14ac:dyDescent="0.35">
      <c r="A52" s="24">
        <v>40</v>
      </c>
      <c r="B52" s="103">
        <f t="shared" si="0"/>
        <v>805.23243451820974</v>
      </c>
      <c r="C52" s="103">
        <f t="shared" si="7"/>
        <v>593.26986153542441</v>
      </c>
      <c r="D52" s="103">
        <f t="shared" si="8"/>
        <v>211.96257298278533</v>
      </c>
      <c r="E52" s="103">
        <f t="shared" si="9"/>
        <v>142172.80419551907</v>
      </c>
      <c r="F52" s="6"/>
      <c r="G52" s="2">
        <v>40</v>
      </c>
      <c r="H52" s="101">
        <v>805.23243451820974</v>
      </c>
      <c r="I52" s="101">
        <v>593.26986153542452</v>
      </c>
      <c r="J52" s="101">
        <v>211.96257298278522</v>
      </c>
      <c r="K52" s="101">
        <v>142172.80419551907</v>
      </c>
      <c r="L52" s="17"/>
    </row>
    <row r="53" spans="1:12" x14ac:dyDescent="0.35">
      <c r="A53" s="24">
        <v>41</v>
      </c>
      <c r="B53" s="103">
        <f t="shared" si="0"/>
        <v>805.23243451820974</v>
      </c>
      <c r="C53" s="103">
        <f t="shared" si="7"/>
        <v>592.38668414799611</v>
      </c>
      <c r="D53" s="103">
        <f t="shared" si="8"/>
        <v>212.84575037021364</v>
      </c>
      <c r="E53" s="103">
        <f t="shared" si="9"/>
        <v>141959.95844514886</v>
      </c>
      <c r="F53" s="6"/>
      <c r="G53" s="2">
        <v>41</v>
      </c>
      <c r="H53" s="101">
        <v>805.23243451820974</v>
      </c>
      <c r="I53" s="101">
        <v>592.38668414799611</v>
      </c>
      <c r="J53" s="101">
        <v>212.84575037021364</v>
      </c>
      <c r="K53" s="101">
        <v>141959.95844514886</v>
      </c>
      <c r="L53" s="17"/>
    </row>
    <row r="54" spans="1:12" x14ac:dyDescent="0.35">
      <c r="A54" s="24">
        <v>42</v>
      </c>
      <c r="B54" s="103">
        <f t="shared" si="0"/>
        <v>805.23243451820974</v>
      </c>
      <c r="C54" s="103">
        <f t="shared" si="7"/>
        <v>591.49982685478699</v>
      </c>
      <c r="D54" s="103">
        <f t="shared" si="8"/>
        <v>213.73260766342275</v>
      </c>
      <c r="E54" s="103">
        <f t="shared" si="9"/>
        <v>141746.22583748543</v>
      </c>
      <c r="F54" s="6"/>
      <c r="G54" s="2">
        <v>42</v>
      </c>
      <c r="H54" s="101">
        <v>805.23243451820974</v>
      </c>
      <c r="I54" s="101">
        <v>591.49982685478699</v>
      </c>
      <c r="J54" s="101">
        <v>213.73260766342275</v>
      </c>
      <c r="K54" s="101">
        <v>141746.22583748543</v>
      </c>
      <c r="L54" s="17"/>
    </row>
    <row r="55" spans="1:12" x14ac:dyDescent="0.35">
      <c r="A55" s="24">
        <v>43</v>
      </c>
      <c r="B55" s="103">
        <f t="shared" si="0"/>
        <v>805.23243451820974</v>
      </c>
      <c r="C55" s="103">
        <f t="shared" si="7"/>
        <v>590.60927432285598</v>
      </c>
      <c r="D55" s="103">
        <f t="shared" si="8"/>
        <v>214.62316019535376</v>
      </c>
      <c r="E55" s="103">
        <f t="shared" si="9"/>
        <v>141531.60267729007</v>
      </c>
      <c r="F55" s="6"/>
      <c r="G55" s="2">
        <v>43</v>
      </c>
      <c r="H55" s="101">
        <v>805.23243451820974</v>
      </c>
      <c r="I55" s="101">
        <v>590.60927432285598</v>
      </c>
      <c r="J55" s="101">
        <v>214.62316019535376</v>
      </c>
      <c r="K55" s="101">
        <v>141531.60267729007</v>
      </c>
      <c r="L55" s="17"/>
    </row>
    <row r="56" spans="1:12" x14ac:dyDescent="0.35">
      <c r="A56" s="24">
        <v>44</v>
      </c>
      <c r="B56" s="103">
        <f t="shared" si="0"/>
        <v>805.23243451820974</v>
      </c>
      <c r="C56" s="103">
        <f t="shared" si="7"/>
        <v>589.71501115537524</v>
      </c>
      <c r="D56" s="103">
        <f t="shared" si="8"/>
        <v>215.51742336283451</v>
      </c>
      <c r="E56" s="103">
        <f t="shared" si="9"/>
        <v>141316.08525392725</v>
      </c>
      <c r="F56" s="6"/>
      <c r="G56" s="2">
        <v>44</v>
      </c>
      <c r="H56" s="101">
        <v>805.23243451820974</v>
      </c>
      <c r="I56" s="101">
        <v>589.71501115537535</v>
      </c>
      <c r="J56" s="101">
        <v>215.51742336283439</v>
      </c>
      <c r="K56" s="101">
        <v>141316.08525392725</v>
      </c>
      <c r="L56" s="17"/>
    </row>
    <row r="57" spans="1:12" x14ac:dyDescent="0.35">
      <c r="A57" s="24">
        <v>45</v>
      </c>
      <c r="B57" s="103">
        <f t="shared" si="0"/>
        <v>805.23243451820974</v>
      </c>
      <c r="C57" s="103">
        <f t="shared" si="7"/>
        <v>588.81702189136354</v>
      </c>
      <c r="D57" s="103">
        <f t="shared" si="8"/>
        <v>216.41541262684621</v>
      </c>
      <c r="E57" s="103">
        <f t="shared" si="9"/>
        <v>141099.66984130041</v>
      </c>
      <c r="F57" s="6"/>
      <c r="G57" s="2">
        <v>45</v>
      </c>
      <c r="H57" s="101">
        <v>805.23243451820974</v>
      </c>
      <c r="I57" s="101">
        <v>588.81702189136354</v>
      </c>
      <c r="J57" s="101">
        <v>216.41541262684621</v>
      </c>
      <c r="K57" s="101">
        <v>141099.66984130041</v>
      </c>
      <c r="L57" s="17"/>
    </row>
    <row r="58" spans="1:12" x14ac:dyDescent="0.35">
      <c r="A58" s="24">
        <v>46</v>
      </c>
      <c r="B58" s="103">
        <f t="shared" si="0"/>
        <v>805.23243451820974</v>
      </c>
      <c r="C58" s="103">
        <f t="shared" si="7"/>
        <v>587.91529100541845</v>
      </c>
      <c r="D58" s="103">
        <f t="shared" si="8"/>
        <v>217.31714351279129</v>
      </c>
      <c r="E58" s="103">
        <f t="shared" si="9"/>
        <v>140882.3526977876</v>
      </c>
      <c r="F58" s="6"/>
      <c r="G58" s="2">
        <v>46</v>
      </c>
      <c r="H58" s="101">
        <v>805.23243451820974</v>
      </c>
      <c r="I58" s="101">
        <v>587.91529100541834</v>
      </c>
      <c r="J58" s="101">
        <v>217.3171435127914</v>
      </c>
      <c r="K58" s="101">
        <v>140882.3526977876</v>
      </c>
      <c r="L58" s="17"/>
    </row>
    <row r="59" spans="1:12" x14ac:dyDescent="0.35">
      <c r="A59" s="24">
        <v>47</v>
      </c>
      <c r="B59" s="103">
        <f t="shared" si="0"/>
        <v>805.23243451820974</v>
      </c>
      <c r="C59" s="103">
        <f t="shared" si="7"/>
        <v>587.00980290744837</v>
      </c>
      <c r="D59" s="103">
        <f t="shared" si="8"/>
        <v>218.22263161076137</v>
      </c>
      <c r="E59" s="103">
        <f t="shared" si="9"/>
        <v>140664.13006617685</v>
      </c>
      <c r="F59" s="6"/>
      <c r="G59" s="2">
        <v>47</v>
      </c>
      <c r="H59" s="101">
        <v>805.23243451820974</v>
      </c>
      <c r="I59" s="101">
        <v>587.00980290744837</v>
      </c>
      <c r="J59" s="101">
        <v>218.22263161076137</v>
      </c>
      <c r="K59" s="101">
        <v>140664.13006617685</v>
      </c>
      <c r="L59" s="17"/>
    </row>
    <row r="60" spans="1:12" x14ac:dyDescent="0.35">
      <c r="A60" s="24">
        <v>48</v>
      </c>
      <c r="B60" s="103">
        <f t="shared" si="0"/>
        <v>805.23243451820974</v>
      </c>
      <c r="C60" s="103">
        <f t="shared" si="7"/>
        <v>586.10054194240354</v>
      </c>
      <c r="D60" s="103">
        <f t="shared" si="8"/>
        <v>219.13189257580621</v>
      </c>
      <c r="E60" s="103">
        <f t="shared" si="9"/>
        <v>140444.99817360105</v>
      </c>
      <c r="F60" s="6"/>
      <c r="G60" s="2">
        <v>48</v>
      </c>
      <c r="H60" s="101">
        <v>805.23243451820974</v>
      </c>
      <c r="I60" s="101">
        <v>586.10054194240354</v>
      </c>
      <c r="J60" s="101">
        <v>219.13189257580621</v>
      </c>
      <c r="K60" s="101">
        <v>140444.99817360105</v>
      </c>
      <c r="L60" s="17"/>
    </row>
    <row r="61" spans="1:12" x14ac:dyDescent="0.35">
      <c r="A61" s="24">
        <v>49</v>
      </c>
      <c r="B61" s="103">
        <f t="shared" si="0"/>
        <v>805.23243451820974</v>
      </c>
      <c r="C61" s="103">
        <f t="shared" si="7"/>
        <v>585.18749239000442</v>
      </c>
      <c r="D61" s="103">
        <f t="shared" si="8"/>
        <v>220.04494212820532</v>
      </c>
      <c r="E61" s="103">
        <f t="shared" si="9"/>
        <v>140224.95323147284</v>
      </c>
      <c r="F61" s="6"/>
      <c r="G61" s="2">
        <v>49</v>
      </c>
      <c r="H61" s="101">
        <v>805.23243451820974</v>
      </c>
      <c r="I61" s="101">
        <v>585.18749239000442</v>
      </c>
      <c r="J61" s="101">
        <v>220.04494212820532</v>
      </c>
      <c r="K61" s="101">
        <v>140224.95323147284</v>
      </c>
      <c r="L61" s="17"/>
    </row>
    <row r="62" spans="1:12" x14ac:dyDescent="0.35">
      <c r="A62" s="24">
        <v>50</v>
      </c>
      <c r="B62" s="103">
        <f t="shared" si="0"/>
        <v>805.23243451820974</v>
      </c>
      <c r="C62" s="103">
        <f t="shared" si="7"/>
        <v>584.27063846447015</v>
      </c>
      <c r="D62" s="103">
        <f t="shared" si="8"/>
        <v>220.96179605373959</v>
      </c>
      <c r="E62" s="103">
        <f t="shared" si="9"/>
        <v>140003.9914354191</v>
      </c>
      <c r="F62" s="6"/>
      <c r="G62" s="2">
        <v>50</v>
      </c>
      <c r="H62" s="101">
        <v>805.23243451820974</v>
      </c>
      <c r="I62" s="101">
        <v>584.27063846447015</v>
      </c>
      <c r="J62" s="101">
        <v>220.96179605373959</v>
      </c>
      <c r="K62" s="101">
        <v>140003.9914354191</v>
      </c>
      <c r="L62" s="17"/>
    </row>
    <row r="63" spans="1:12" x14ac:dyDescent="0.35">
      <c r="A63" s="24">
        <v>51</v>
      </c>
      <c r="B63" s="103">
        <f t="shared" si="0"/>
        <v>805.23243451820974</v>
      </c>
      <c r="C63" s="103">
        <f t="shared" si="7"/>
        <v>583.34996431424622</v>
      </c>
      <c r="D63" s="103">
        <f t="shared" si="8"/>
        <v>221.88247020396352</v>
      </c>
      <c r="E63" s="103">
        <f t="shared" si="9"/>
        <v>139782.10896521513</v>
      </c>
      <c r="F63" s="6"/>
      <c r="G63" s="2">
        <v>51</v>
      </c>
      <c r="H63" s="101">
        <v>805.23243451820974</v>
      </c>
      <c r="I63" s="101">
        <v>583.34996431424622</v>
      </c>
      <c r="J63" s="101">
        <v>221.88247020396352</v>
      </c>
      <c r="K63" s="101">
        <v>139782.10896521513</v>
      </c>
      <c r="L63" s="17"/>
    </row>
    <row r="64" spans="1:12" x14ac:dyDescent="0.35">
      <c r="A64" s="24">
        <v>52</v>
      </c>
      <c r="B64" s="103">
        <f t="shared" si="0"/>
        <v>805.23243451820974</v>
      </c>
      <c r="C64" s="103">
        <f t="shared" si="7"/>
        <v>582.42545402172971</v>
      </c>
      <c r="D64" s="103">
        <f t="shared" si="8"/>
        <v>222.80698049648004</v>
      </c>
      <c r="E64" s="103">
        <f t="shared" si="9"/>
        <v>139559.30198471865</v>
      </c>
      <c r="F64" s="6"/>
      <c r="G64" s="2">
        <v>52</v>
      </c>
      <c r="H64" s="101">
        <v>805.23243451820974</v>
      </c>
      <c r="I64" s="101">
        <v>582.42545402172971</v>
      </c>
      <c r="J64" s="101">
        <v>222.80698049648004</v>
      </c>
      <c r="K64" s="101">
        <v>139559.30198471865</v>
      </c>
      <c r="L64" s="17"/>
    </row>
    <row r="65" spans="1:12" x14ac:dyDescent="0.35">
      <c r="A65" s="24">
        <v>53</v>
      </c>
      <c r="B65" s="103">
        <f t="shared" si="0"/>
        <v>805.23243451820974</v>
      </c>
      <c r="C65" s="103">
        <f t="shared" si="7"/>
        <v>581.49709160299437</v>
      </c>
      <c r="D65" s="103">
        <f t="shared" si="8"/>
        <v>223.73534291521537</v>
      </c>
      <c r="E65" s="103">
        <f t="shared" si="9"/>
        <v>139335.56664180342</v>
      </c>
      <c r="F65" s="6"/>
      <c r="G65" s="2">
        <v>53</v>
      </c>
      <c r="H65" s="101">
        <v>805.23243451820974</v>
      </c>
      <c r="I65" s="101">
        <v>581.49709160299437</v>
      </c>
      <c r="J65" s="101">
        <v>223.73534291521537</v>
      </c>
      <c r="K65" s="101">
        <v>139335.56664180342</v>
      </c>
      <c r="L65" s="17"/>
    </row>
    <row r="66" spans="1:12" x14ac:dyDescent="0.35">
      <c r="A66" s="24">
        <v>54</v>
      </c>
      <c r="B66" s="103">
        <f t="shared" si="0"/>
        <v>805.23243451820974</v>
      </c>
      <c r="C66" s="103">
        <f t="shared" si="7"/>
        <v>580.56486100751431</v>
      </c>
      <c r="D66" s="103">
        <f t="shared" si="8"/>
        <v>224.66757351069543</v>
      </c>
      <c r="E66" s="103">
        <f t="shared" si="9"/>
        <v>139110.89906829273</v>
      </c>
      <c r="F66" s="6"/>
      <c r="G66" s="2">
        <v>54</v>
      </c>
      <c r="H66" s="101">
        <v>805.23243451820974</v>
      </c>
      <c r="I66" s="101">
        <v>580.56486100751431</v>
      </c>
      <c r="J66" s="101">
        <v>224.66757351069543</v>
      </c>
      <c r="K66" s="101">
        <v>139110.89906829273</v>
      </c>
      <c r="L66" s="17"/>
    </row>
    <row r="67" spans="1:12" x14ac:dyDescent="0.35">
      <c r="A67" s="24">
        <v>55</v>
      </c>
      <c r="B67" s="103">
        <f t="shared" si="0"/>
        <v>805.23243451820974</v>
      </c>
      <c r="C67" s="103">
        <f t="shared" si="7"/>
        <v>579.62874611788641</v>
      </c>
      <c r="D67" s="103">
        <f t="shared" si="8"/>
        <v>225.60368840032334</v>
      </c>
      <c r="E67" s="103">
        <f t="shared" si="9"/>
        <v>138885.2953798924</v>
      </c>
      <c r="F67" s="6"/>
      <c r="G67" s="2">
        <v>55</v>
      </c>
      <c r="H67" s="101">
        <v>805.23243451820974</v>
      </c>
      <c r="I67" s="101">
        <v>579.62874611788641</v>
      </c>
      <c r="J67" s="101">
        <v>225.60368840032334</v>
      </c>
      <c r="K67" s="101">
        <v>138885.2953798924</v>
      </c>
      <c r="L67" s="17"/>
    </row>
    <row r="68" spans="1:12" x14ac:dyDescent="0.35">
      <c r="A68" s="24">
        <v>56</v>
      </c>
      <c r="B68" s="103">
        <f t="shared" si="0"/>
        <v>805.23243451820974</v>
      </c>
      <c r="C68" s="103">
        <f t="shared" si="7"/>
        <v>578.68873074955172</v>
      </c>
      <c r="D68" s="103">
        <f t="shared" si="8"/>
        <v>226.54370376865802</v>
      </c>
      <c r="E68" s="103">
        <f t="shared" si="9"/>
        <v>138658.75167612373</v>
      </c>
      <c r="F68" s="6"/>
      <c r="G68" s="2">
        <v>56</v>
      </c>
      <c r="H68" s="101">
        <v>805.23243451820974</v>
      </c>
      <c r="I68" s="101">
        <v>578.68873074955172</v>
      </c>
      <c r="J68" s="101">
        <v>226.54370376865802</v>
      </c>
      <c r="K68" s="101">
        <v>138658.75167612373</v>
      </c>
      <c r="L68" s="17"/>
    </row>
    <row r="69" spans="1:12" x14ac:dyDescent="0.35">
      <c r="A69" s="24">
        <v>57</v>
      </c>
      <c r="B69" s="103">
        <f t="shared" si="0"/>
        <v>805.23243451820974</v>
      </c>
      <c r="C69" s="103">
        <f t="shared" si="7"/>
        <v>577.74479865051558</v>
      </c>
      <c r="D69" s="103">
        <f t="shared" si="8"/>
        <v>227.48763586769417</v>
      </c>
      <c r="E69" s="103">
        <f t="shared" si="9"/>
        <v>138431.26404025604</v>
      </c>
      <c r="F69" s="6"/>
      <c r="G69" s="2">
        <v>57</v>
      </c>
      <c r="H69" s="101">
        <v>805.23243451820974</v>
      </c>
      <c r="I69" s="101">
        <v>577.74479865051558</v>
      </c>
      <c r="J69" s="101">
        <v>227.48763586769417</v>
      </c>
      <c r="K69" s="101">
        <v>138431.26404025604</v>
      </c>
      <c r="L69" s="17"/>
    </row>
    <row r="70" spans="1:12" x14ac:dyDescent="0.35">
      <c r="A70" s="24">
        <v>58</v>
      </c>
      <c r="B70" s="103">
        <f t="shared" si="0"/>
        <v>805.23243451820974</v>
      </c>
      <c r="C70" s="103">
        <f t="shared" si="7"/>
        <v>576.79693350106686</v>
      </c>
      <c r="D70" s="103">
        <f t="shared" si="8"/>
        <v>228.43550101714288</v>
      </c>
      <c r="E70" s="103">
        <f t="shared" si="9"/>
        <v>138202.82853923889</v>
      </c>
      <c r="F70" s="6"/>
      <c r="G70" s="2">
        <v>58</v>
      </c>
      <c r="H70" s="101">
        <v>805.23243451820974</v>
      </c>
      <c r="I70" s="101">
        <v>576.79693350106686</v>
      </c>
      <c r="J70" s="101">
        <v>228.43550101714288</v>
      </c>
      <c r="K70" s="101">
        <v>138202.82853923889</v>
      </c>
      <c r="L70" s="17"/>
    </row>
    <row r="71" spans="1:12" x14ac:dyDescent="0.35">
      <c r="A71" s="24">
        <v>59</v>
      </c>
      <c r="B71" s="103">
        <f t="shared" si="0"/>
        <v>805.23243451820974</v>
      </c>
      <c r="C71" s="103">
        <f t="shared" si="7"/>
        <v>575.84511891349541</v>
      </c>
      <c r="D71" s="103">
        <f t="shared" si="8"/>
        <v>229.38731560471433</v>
      </c>
      <c r="E71" s="103">
        <f t="shared" si="9"/>
        <v>137973.44122363417</v>
      </c>
      <c r="F71" s="6"/>
      <c r="G71" s="2">
        <v>59</v>
      </c>
      <c r="H71" s="101">
        <v>805.23243451820974</v>
      </c>
      <c r="I71" s="101">
        <v>575.84511891349541</v>
      </c>
      <c r="J71" s="101">
        <v>229.38731560471433</v>
      </c>
      <c r="K71" s="101">
        <v>137973.44122363417</v>
      </c>
      <c r="L71" s="17"/>
    </row>
    <row r="72" spans="1:12" x14ac:dyDescent="0.35">
      <c r="A72" s="24">
        <v>60</v>
      </c>
      <c r="B72" s="103">
        <f t="shared" si="0"/>
        <v>805.23243451820974</v>
      </c>
      <c r="C72" s="103">
        <f t="shared" si="7"/>
        <v>574.88933843180905</v>
      </c>
      <c r="D72" s="103">
        <f t="shared" si="8"/>
        <v>230.34309608640069</v>
      </c>
      <c r="E72" s="103">
        <f t="shared" si="9"/>
        <v>137743.09812754777</v>
      </c>
      <c r="F72" s="6"/>
      <c r="G72" s="2">
        <v>60</v>
      </c>
      <c r="H72" s="101">
        <v>805.23243451820974</v>
      </c>
      <c r="I72" s="101">
        <v>574.88933843180905</v>
      </c>
      <c r="J72" s="101">
        <v>230.34309608640069</v>
      </c>
      <c r="K72" s="101">
        <v>137743.09812754777</v>
      </c>
      <c r="L72" s="17"/>
    </row>
    <row r="73" spans="1:12" x14ac:dyDescent="0.35">
      <c r="A73" s="24">
        <v>61</v>
      </c>
      <c r="B73" s="103">
        <f t="shared" si="0"/>
        <v>805.23243451820974</v>
      </c>
      <c r="C73" s="103">
        <f t="shared" si="7"/>
        <v>573.92957553144913</v>
      </c>
      <c r="D73" s="103">
        <f t="shared" si="8"/>
        <v>231.30285898676061</v>
      </c>
      <c r="E73" s="103">
        <f t="shared" si="9"/>
        <v>137511.79526856102</v>
      </c>
      <c r="F73" s="6"/>
      <c r="G73" s="2">
        <v>61</v>
      </c>
      <c r="H73" s="101">
        <v>805.23243451820974</v>
      </c>
      <c r="I73" s="101">
        <v>573.92957553144902</v>
      </c>
      <c r="J73" s="101">
        <v>231.30285898676073</v>
      </c>
      <c r="K73" s="101">
        <v>137511.79526856102</v>
      </c>
      <c r="L73" s="17"/>
    </row>
    <row r="74" spans="1:12" x14ac:dyDescent="0.35">
      <c r="A74" s="24">
        <v>62</v>
      </c>
      <c r="B74" s="103">
        <f t="shared" si="0"/>
        <v>805.23243451820974</v>
      </c>
      <c r="C74" s="103">
        <f t="shared" si="7"/>
        <v>572.96581361900428</v>
      </c>
      <c r="D74" s="103">
        <f t="shared" si="8"/>
        <v>232.26662089920546</v>
      </c>
      <c r="E74" s="103">
        <f t="shared" si="9"/>
        <v>137279.52864766182</v>
      </c>
      <c r="F74" s="6"/>
      <c r="G74" s="2">
        <v>62</v>
      </c>
      <c r="H74" s="101">
        <v>805.23243451820974</v>
      </c>
      <c r="I74" s="101">
        <v>572.96581361900428</v>
      </c>
      <c r="J74" s="101">
        <v>232.26662089920546</v>
      </c>
      <c r="K74" s="101">
        <v>137279.52864766182</v>
      </c>
      <c r="L74" s="17"/>
    </row>
    <row r="75" spans="1:12" x14ac:dyDescent="0.35">
      <c r="A75" s="24">
        <v>63</v>
      </c>
      <c r="B75" s="103">
        <f t="shared" si="0"/>
        <v>805.23243451820974</v>
      </c>
      <c r="C75" s="103">
        <f t="shared" si="7"/>
        <v>571.99803603192424</v>
      </c>
      <c r="D75" s="103">
        <f t="shared" si="8"/>
        <v>233.2343984862855</v>
      </c>
      <c r="E75" s="103">
        <f t="shared" si="9"/>
        <v>137046.29424917552</v>
      </c>
      <c r="F75" s="6"/>
      <c r="G75" s="2">
        <v>63</v>
      </c>
      <c r="H75" s="101">
        <v>805.23243451820974</v>
      </c>
      <c r="I75" s="101">
        <v>571.99803603192424</v>
      </c>
      <c r="J75" s="101">
        <v>233.2343984862855</v>
      </c>
      <c r="K75" s="101">
        <v>137046.29424917552</v>
      </c>
      <c r="L75" s="17"/>
    </row>
    <row r="76" spans="1:12" x14ac:dyDescent="0.35">
      <c r="A76" s="24">
        <v>64</v>
      </c>
      <c r="B76" s="103">
        <f t="shared" si="0"/>
        <v>805.23243451820974</v>
      </c>
      <c r="C76" s="103">
        <f t="shared" si="7"/>
        <v>571.02622603823136</v>
      </c>
      <c r="D76" s="103">
        <f t="shared" si="8"/>
        <v>234.20620847997839</v>
      </c>
      <c r="E76" s="103">
        <f t="shared" si="9"/>
        <v>136812.08804069555</v>
      </c>
      <c r="F76" s="6"/>
      <c r="G76" s="2">
        <v>64</v>
      </c>
      <c r="H76" s="101">
        <v>805.23243451820974</v>
      </c>
      <c r="I76" s="101">
        <v>571.02622603823136</v>
      </c>
      <c r="J76" s="101">
        <v>234.20620847997839</v>
      </c>
      <c r="K76" s="101">
        <v>136812.08804069555</v>
      </c>
      <c r="L76" s="17"/>
    </row>
    <row r="77" spans="1:12" x14ac:dyDescent="0.35">
      <c r="A77" s="24">
        <v>65</v>
      </c>
      <c r="B77" s="103">
        <f t="shared" si="0"/>
        <v>805.23243451820974</v>
      </c>
      <c r="C77" s="103">
        <f t="shared" si="7"/>
        <v>570.05036683623155</v>
      </c>
      <c r="D77" s="103">
        <f t="shared" si="8"/>
        <v>235.1820676819782</v>
      </c>
      <c r="E77" s="103">
        <f t="shared" si="9"/>
        <v>136576.90597301358</v>
      </c>
      <c r="F77" s="6"/>
      <c r="G77" s="2">
        <v>65</v>
      </c>
      <c r="H77" s="101">
        <v>805.23243451820974</v>
      </c>
      <c r="I77" s="101">
        <v>570.05036683623155</v>
      </c>
      <c r="J77" s="101">
        <v>235.1820676819782</v>
      </c>
      <c r="K77" s="101">
        <v>136576.90597301358</v>
      </c>
      <c r="L77" s="17"/>
    </row>
    <row r="78" spans="1:12" x14ac:dyDescent="0.35">
      <c r="A78" s="24">
        <v>66</v>
      </c>
      <c r="B78" s="103">
        <f t="shared" ref="B78:B141" si="10">$B$8</f>
        <v>805.23243451820974</v>
      </c>
      <c r="C78" s="103">
        <f t="shared" si="7"/>
        <v>569.07044155422329</v>
      </c>
      <c r="D78" s="103">
        <f t="shared" si="8"/>
        <v>236.16199296398645</v>
      </c>
      <c r="E78" s="103">
        <f t="shared" si="9"/>
        <v>136340.74398004959</v>
      </c>
      <c r="F78" s="6"/>
      <c r="G78" s="2">
        <v>66</v>
      </c>
      <c r="H78" s="101">
        <v>805.23243451820974</v>
      </c>
      <c r="I78" s="101">
        <v>569.07044155422329</v>
      </c>
      <c r="J78" s="101">
        <v>236.16199296398645</v>
      </c>
      <c r="K78" s="101">
        <v>136340.74398004959</v>
      </c>
      <c r="L78" s="17"/>
    </row>
    <row r="79" spans="1:12" x14ac:dyDescent="0.35">
      <c r="A79" s="24">
        <v>67</v>
      </c>
      <c r="B79" s="103">
        <f t="shared" si="10"/>
        <v>805.23243451820974</v>
      </c>
      <c r="C79" s="103">
        <f t="shared" si="7"/>
        <v>568.0864332502066</v>
      </c>
      <c r="D79" s="103">
        <f t="shared" si="8"/>
        <v>237.14600126800315</v>
      </c>
      <c r="E79" s="103">
        <f t="shared" si="9"/>
        <v>136103.59797878159</v>
      </c>
      <c r="F79" s="6"/>
      <c r="G79" s="2">
        <v>67</v>
      </c>
      <c r="H79" s="101">
        <v>805.23243451820974</v>
      </c>
      <c r="I79" s="101">
        <v>568.08643325020671</v>
      </c>
      <c r="J79" s="101">
        <v>237.14600126800303</v>
      </c>
      <c r="K79" s="101">
        <v>136103.59797878159</v>
      </c>
      <c r="L79" s="17"/>
    </row>
    <row r="80" spans="1:12" x14ac:dyDescent="0.35">
      <c r="A80" s="24">
        <v>68</v>
      </c>
      <c r="B80" s="103">
        <f t="shared" si="10"/>
        <v>805.23243451820974</v>
      </c>
      <c r="C80" s="103">
        <f t="shared" si="7"/>
        <v>567.09832491159</v>
      </c>
      <c r="D80" s="103">
        <f t="shared" si="8"/>
        <v>238.13410960661975</v>
      </c>
      <c r="E80" s="103">
        <f t="shared" si="9"/>
        <v>135865.46386917497</v>
      </c>
      <c r="F80" s="6"/>
      <c r="G80" s="2">
        <v>68</v>
      </c>
      <c r="H80" s="101">
        <v>805.23243451820974</v>
      </c>
      <c r="I80" s="101">
        <v>567.09832491159</v>
      </c>
      <c r="J80" s="101">
        <v>238.13410960661975</v>
      </c>
      <c r="K80" s="101">
        <v>135865.46386917497</v>
      </c>
      <c r="L80" s="17"/>
    </row>
    <row r="81" spans="1:12" x14ac:dyDescent="0.35">
      <c r="A81" s="24">
        <v>69</v>
      </c>
      <c r="B81" s="103">
        <f t="shared" si="10"/>
        <v>805.23243451820974</v>
      </c>
      <c r="C81" s="103">
        <f t="shared" si="7"/>
        <v>566.1060994548958</v>
      </c>
      <c r="D81" s="103">
        <f t="shared" si="8"/>
        <v>239.12633506331395</v>
      </c>
      <c r="E81" s="103">
        <f t="shared" si="9"/>
        <v>135626.33753411166</v>
      </c>
      <c r="F81" s="6"/>
      <c r="G81" s="2">
        <v>69</v>
      </c>
      <c r="H81" s="101">
        <v>805.23243451820974</v>
      </c>
      <c r="I81" s="101">
        <v>566.1060994548958</v>
      </c>
      <c r="J81" s="101">
        <v>239.12633506331395</v>
      </c>
      <c r="K81" s="101">
        <v>135626.33753411166</v>
      </c>
      <c r="L81" s="17"/>
    </row>
    <row r="82" spans="1:12" x14ac:dyDescent="0.35">
      <c r="A82" s="24">
        <v>70</v>
      </c>
      <c r="B82" s="103">
        <f t="shared" si="10"/>
        <v>805.23243451820974</v>
      </c>
      <c r="C82" s="103">
        <f t="shared" si="7"/>
        <v>565.10973972546526</v>
      </c>
      <c r="D82" s="103">
        <f t="shared" si="8"/>
        <v>240.12269479274448</v>
      </c>
      <c r="E82" s="103">
        <f t="shared" si="9"/>
        <v>135386.21483931891</v>
      </c>
      <c r="F82" s="6"/>
      <c r="G82" s="2">
        <v>70</v>
      </c>
      <c r="H82" s="101">
        <v>805.23243451820974</v>
      </c>
      <c r="I82" s="101">
        <v>565.10973972546526</v>
      </c>
      <c r="J82" s="101">
        <v>240.12269479274448</v>
      </c>
      <c r="K82" s="101">
        <v>135386.21483931891</v>
      </c>
      <c r="L82" s="17"/>
    </row>
    <row r="83" spans="1:12" x14ac:dyDescent="0.35">
      <c r="A83" s="24">
        <v>71</v>
      </c>
      <c r="B83" s="103">
        <f t="shared" si="10"/>
        <v>805.23243451820974</v>
      </c>
      <c r="C83" s="103">
        <f t="shared" si="7"/>
        <v>564.10922849716223</v>
      </c>
      <c r="D83" s="103">
        <f t="shared" si="8"/>
        <v>241.12320602104751</v>
      </c>
      <c r="E83" s="103">
        <f t="shared" si="9"/>
        <v>135145.09163329785</v>
      </c>
      <c r="F83" s="6"/>
      <c r="G83" s="2">
        <v>71</v>
      </c>
      <c r="H83" s="101">
        <v>805.23243451820974</v>
      </c>
      <c r="I83" s="101">
        <v>564.10922849716212</v>
      </c>
      <c r="J83" s="101">
        <v>241.12320602104762</v>
      </c>
      <c r="K83" s="101">
        <v>135145.09163329785</v>
      </c>
      <c r="L83" s="17"/>
    </row>
    <row r="84" spans="1:12" x14ac:dyDescent="0.35">
      <c r="A84" s="24">
        <v>72</v>
      </c>
      <c r="B84" s="103">
        <f t="shared" si="10"/>
        <v>805.23243451820974</v>
      </c>
      <c r="C84" s="103">
        <f t="shared" si="7"/>
        <v>563.10454847207438</v>
      </c>
      <c r="D84" s="103">
        <f t="shared" si="8"/>
        <v>242.12788604613536</v>
      </c>
      <c r="E84" s="103">
        <f t="shared" si="9"/>
        <v>134902.96374725172</v>
      </c>
      <c r="F84" s="6"/>
      <c r="G84" s="2">
        <v>72</v>
      </c>
      <c r="H84" s="101">
        <v>805.23243451820974</v>
      </c>
      <c r="I84" s="101">
        <v>563.10454847207438</v>
      </c>
      <c r="J84" s="101">
        <v>242.12788604613536</v>
      </c>
      <c r="K84" s="101">
        <v>134902.96374725172</v>
      </c>
      <c r="L84" s="17"/>
    </row>
    <row r="85" spans="1:12" x14ac:dyDescent="0.35">
      <c r="A85" s="24">
        <v>73</v>
      </c>
      <c r="B85" s="103">
        <f t="shared" si="10"/>
        <v>805.23243451820974</v>
      </c>
      <c r="C85" s="103">
        <f t="shared" si="7"/>
        <v>562.09568228021556</v>
      </c>
      <c r="D85" s="103">
        <f t="shared" si="8"/>
        <v>243.13675223799419</v>
      </c>
      <c r="E85" s="103">
        <f t="shared" si="9"/>
        <v>134659.82699501372</v>
      </c>
      <c r="F85" s="6"/>
      <c r="G85" s="2">
        <v>73</v>
      </c>
      <c r="H85" s="101">
        <v>805.23243451820974</v>
      </c>
      <c r="I85" s="101">
        <v>562.09568228021556</v>
      </c>
      <c r="J85" s="101">
        <v>243.13675223799419</v>
      </c>
      <c r="K85" s="101">
        <v>134659.82699501372</v>
      </c>
      <c r="L85" s="17"/>
    </row>
    <row r="86" spans="1:12" x14ac:dyDescent="0.35">
      <c r="A86" s="24">
        <v>74</v>
      </c>
      <c r="B86" s="103">
        <f t="shared" si="10"/>
        <v>805.23243451820974</v>
      </c>
      <c r="C86" s="103">
        <f t="shared" si="7"/>
        <v>561.08261247922383</v>
      </c>
      <c r="D86" s="103">
        <f t="shared" si="8"/>
        <v>244.14982203898592</v>
      </c>
      <c r="E86" s="103">
        <f t="shared" si="9"/>
        <v>134415.67717297474</v>
      </c>
      <c r="F86" s="6"/>
      <c r="G86" s="2">
        <v>74</v>
      </c>
      <c r="H86" s="101">
        <v>805.23243451820974</v>
      </c>
      <c r="I86" s="101">
        <v>561.08261247922383</v>
      </c>
      <c r="J86" s="101">
        <v>244.14982203898592</v>
      </c>
      <c r="K86" s="101">
        <v>134415.67717297474</v>
      </c>
      <c r="L86" s="17"/>
    </row>
    <row r="87" spans="1:12" x14ac:dyDescent="0.35">
      <c r="A87" s="24">
        <v>75</v>
      </c>
      <c r="B87" s="103">
        <f t="shared" si="10"/>
        <v>805.23243451820974</v>
      </c>
      <c r="C87" s="103">
        <f t="shared" si="7"/>
        <v>560.06532155406148</v>
      </c>
      <c r="D87" s="103">
        <f t="shared" si="8"/>
        <v>245.16711296414826</v>
      </c>
      <c r="E87" s="103">
        <f t="shared" si="9"/>
        <v>134170.51006001059</v>
      </c>
      <c r="F87" s="6"/>
      <c r="G87" s="2">
        <v>75</v>
      </c>
      <c r="H87" s="101">
        <v>805.23243451820974</v>
      </c>
      <c r="I87" s="101">
        <v>560.06532155406148</v>
      </c>
      <c r="J87" s="101">
        <v>245.16711296414826</v>
      </c>
      <c r="K87" s="101">
        <v>134170.51006001059</v>
      </c>
      <c r="L87" s="17"/>
    </row>
    <row r="88" spans="1:12" x14ac:dyDescent="0.35">
      <c r="A88" s="24">
        <v>76</v>
      </c>
      <c r="B88" s="103">
        <f t="shared" si="10"/>
        <v>805.23243451820974</v>
      </c>
      <c r="C88" s="103">
        <f t="shared" si="7"/>
        <v>559.0437919167108</v>
      </c>
      <c r="D88" s="103">
        <f t="shared" si="8"/>
        <v>246.18864260149894</v>
      </c>
      <c r="E88" s="103">
        <f t="shared" si="9"/>
        <v>133924.32141740908</v>
      </c>
      <c r="F88" s="6"/>
      <c r="G88" s="2">
        <v>76</v>
      </c>
      <c r="H88" s="101">
        <v>805.23243451820974</v>
      </c>
      <c r="I88" s="101">
        <v>559.0437919167108</v>
      </c>
      <c r="J88" s="101">
        <v>246.18864260149894</v>
      </c>
      <c r="K88" s="101">
        <v>133924.32141740908</v>
      </c>
      <c r="L88" s="17"/>
    </row>
    <row r="89" spans="1:12" x14ac:dyDescent="0.35">
      <c r="A89" s="24">
        <v>77</v>
      </c>
      <c r="B89" s="103">
        <f t="shared" si="10"/>
        <v>805.23243451820974</v>
      </c>
      <c r="C89" s="103">
        <f t="shared" si="7"/>
        <v>558.01800590587118</v>
      </c>
      <c r="D89" s="103">
        <f t="shared" si="8"/>
        <v>247.21442861233857</v>
      </c>
      <c r="E89" s="103">
        <f t="shared" si="9"/>
        <v>133677.10698879673</v>
      </c>
      <c r="F89" s="6"/>
      <c r="G89" s="2">
        <v>77</v>
      </c>
      <c r="H89" s="101">
        <v>805.23243451820974</v>
      </c>
      <c r="I89" s="101">
        <v>558.01800590587118</v>
      </c>
      <c r="J89" s="101">
        <v>247.21442861233857</v>
      </c>
      <c r="K89" s="101">
        <v>133677.10698879673</v>
      </c>
      <c r="L89" s="17"/>
    </row>
    <row r="90" spans="1:12" x14ac:dyDescent="0.35">
      <c r="A90" s="24">
        <v>78</v>
      </c>
      <c r="B90" s="103">
        <f t="shared" si="10"/>
        <v>805.23243451820974</v>
      </c>
      <c r="C90" s="103">
        <f t="shared" ref="C90:C153" si="11">E89*$B$5/$B$7</f>
        <v>556.98794578665309</v>
      </c>
      <c r="D90" s="103">
        <f t="shared" ref="D90:D153" si="12">B90-C90</f>
        <v>248.24448873155666</v>
      </c>
      <c r="E90" s="103">
        <f t="shared" ref="E90:E153" si="13">E89-D90</f>
        <v>133428.86250006518</v>
      </c>
      <c r="F90" s="6"/>
      <c r="G90" s="2">
        <v>78</v>
      </c>
      <c r="H90" s="101">
        <v>805.23243451820974</v>
      </c>
      <c r="I90" s="101">
        <v>556.98794578665309</v>
      </c>
      <c r="J90" s="101">
        <v>248.24448873155666</v>
      </c>
      <c r="K90" s="101">
        <v>133428.86250006518</v>
      </c>
      <c r="L90" s="17"/>
    </row>
    <row r="91" spans="1:12" x14ac:dyDescent="0.35">
      <c r="A91" s="24">
        <v>79</v>
      </c>
      <c r="B91" s="103">
        <f t="shared" si="10"/>
        <v>805.23243451820974</v>
      </c>
      <c r="C91" s="103">
        <f t="shared" si="11"/>
        <v>555.95359375027158</v>
      </c>
      <c r="D91" s="103">
        <f t="shared" si="12"/>
        <v>249.27884076793816</v>
      </c>
      <c r="E91" s="103">
        <f t="shared" si="13"/>
        <v>133179.58365929723</v>
      </c>
      <c r="F91" s="6"/>
      <c r="G91" s="2">
        <v>79</v>
      </c>
      <c r="H91" s="101">
        <v>805.23243451820974</v>
      </c>
      <c r="I91" s="101">
        <v>555.95359375027158</v>
      </c>
      <c r="J91" s="101">
        <v>249.27884076793816</v>
      </c>
      <c r="K91" s="101">
        <v>133179.58365929723</v>
      </c>
      <c r="L91" s="17"/>
    </row>
    <row r="92" spans="1:12" x14ac:dyDescent="0.35">
      <c r="A92" s="24">
        <v>80</v>
      </c>
      <c r="B92" s="103">
        <f t="shared" si="10"/>
        <v>805.23243451820974</v>
      </c>
      <c r="C92" s="103">
        <f t="shared" si="11"/>
        <v>554.91493191373854</v>
      </c>
      <c r="D92" s="103">
        <f t="shared" si="12"/>
        <v>250.3175026044712</v>
      </c>
      <c r="E92" s="103">
        <f t="shared" si="13"/>
        <v>132929.26615669276</v>
      </c>
      <c r="F92" s="6"/>
      <c r="G92" s="2">
        <v>80</v>
      </c>
      <c r="H92" s="101">
        <v>805.23243451820974</v>
      </c>
      <c r="I92" s="101">
        <v>554.91493191373854</v>
      </c>
      <c r="J92" s="101">
        <v>250.3175026044712</v>
      </c>
      <c r="K92" s="101">
        <v>132929.26615669276</v>
      </c>
      <c r="L92" s="17"/>
    </row>
    <row r="93" spans="1:12" x14ac:dyDescent="0.35">
      <c r="A93" s="24">
        <v>81</v>
      </c>
      <c r="B93" s="103">
        <f t="shared" si="10"/>
        <v>805.23243451820974</v>
      </c>
      <c r="C93" s="103">
        <f t="shared" si="11"/>
        <v>553.87194231955311</v>
      </c>
      <c r="D93" s="103">
        <f t="shared" si="12"/>
        <v>251.36049219865663</v>
      </c>
      <c r="E93" s="103">
        <f t="shared" si="13"/>
        <v>132677.90566449409</v>
      </c>
      <c r="F93" s="6"/>
      <c r="G93" s="2">
        <v>81</v>
      </c>
      <c r="H93" s="101">
        <v>805.23243451820974</v>
      </c>
      <c r="I93" s="101">
        <v>553.87194231955323</v>
      </c>
      <c r="J93" s="101">
        <v>251.36049219865652</v>
      </c>
      <c r="K93" s="101">
        <v>132677.90566449409</v>
      </c>
      <c r="L93" s="17"/>
    </row>
    <row r="94" spans="1:12" x14ac:dyDescent="0.35">
      <c r="A94" s="24">
        <v>82</v>
      </c>
      <c r="B94" s="103">
        <f t="shared" si="10"/>
        <v>805.23243451820974</v>
      </c>
      <c r="C94" s="103">
        <f t="shared" si="11"/>
        <v>552.82460693539213</v>
      </c>
      <c r="D94" s="103">
        <f t="shared" si="12"/>
        <v>252.40782758281762</v>
      </c>
      <c r="E94" s="103">
        <f t="shared" si="13"/>
        <v>132425.49783691127</v>
      </c>
      <c r="F94" s="6"/>
      <c r="G94" s="2">
        <v>82</v>
      </c>
      <c r="H94" s="101">
        <v>805.23243451820974</v>
      </c>
      <c r="I94" s="101">
        <v>552.82460693539201</v>
      </c>
      <c r="J94" s="101">
        <v>252.40782758281773</v>
      </c>
      <c r="K94" s="101">
        <v>132425.49783691127</v>
      </c>
      <c r="L94" s="17"/>
    </row>
    <row r="95" spans="1:12" x14ac:dyDescent="0.35">
      <c r="A95" s="24">
        <v>83</v>
      </c>
      <c r="B95" s="103">
        <f t="shared" si="10"/>
        <v>805.23243451820974</v>
      </c>
      <c r="C95" s="103">
        <f t="shared" si="11"/>
        <v>551.77290765379701</v>
      </c>
      <c r="D95" s="103">
        <f t="shared" si="12"/>
        <v>253.45952686441274</v>
      </c>
      <c r="E95" s="103">
        <f t="shared" si="13"/>
        <v>132172.03831004686</v>
      </c>
      <c r="F95" s="6"/>
      <c r="G95" s="2">
        <v>83</v>
      </c>
      <c r="H95" s="101">
        <v>805.23243451820974</v>
      </c>
      <c r="I95" s="101">
        <v>551.77290765379701</v>
      </c>
      <c r="J95" s="101">
        <v>253.45952686441274</v>
      </c>
      <c r="K95" s="101">
        <v>132172.03831004686</v>
      </c>
      <c r="L95" s="17"/>
    </row>
    <row r="96" spans="1:12" x14ac:dyDescent="0.35">
      <c r="A96" s="24">
        <v>84</v>
      </c>
      <c r="B96" s="103">
        <f t="shared" si="10"/>
        <v>805.23243451820974</v>
      </c>
      <c r="C96" s="103">
        <f t="shared" si="11"/>
        <v>550.71682629186193</v>
      </c>
      <c r="D96" s="103">
        <f t="shared" si="12"/>
        <v>254.51560822634781</v>
      </c>
      <c r="E96" s="103">
        <f t="shared" si="13"/>
        <v>131917.5227018205</v>
      </c>
      <c r="F96" s="6"/>
      <c r="G96" s="2">
        <v>84</v>
      </c>
      <c r="H96" s="101">
        <v>805.23243451820974</v>
      </c>
      <c r="I96" s="101">
        <v>550.71682629186193</v>
      </c>
      <c r="J96" s="101">
        <v>254.51560822634781</v>
      </c>
      <c r="K96" s="101">
        <v>131917.5227018205</v>
      </c>
      <c r="L96" s="17"/>
    </row>
    <row r="97" spans="1:12" x14ac:dyDescent="0.35">
      <c r="A97" s="24">
        <v>85</v>
      </c>
      <c r="B97" s="103">
        <f t="shared" si="10"/>
        <v>805.23243451820974</v>
      </c>
      <c r="C97" s="103">
        <f t="shared" si="11"/>
        <v>549.65634459091882</v>
      </c>
      <c r="D97" s="103">
        <f t="shared" si="12"/>
        <v>255.57608992729092</v>
      </c>
      <c r="E97" s="103">
        <f t="shared" si="13"/>
        <v>131661.94661189322</v>
      </c>
      <c r="F97" s="6"/>
      <c r="G97" s="2">
        <v>85</v>
      </c>
      <c r="H97" s="101">
        <v>805.23243451820974</v>
      </c>
      <c r="I97" s="101">
        <v>549.65634459091882</v>
      </c>
      <c r="J97" s="101">
        <v>255.57608992729092</v>
      </c>
      <c r="K97" s="101">
        <v>131661.94661189322</v>
      </c>
      <c r="L97" s="17"/>
    </row>
    <row r="98" spans="1:12" x14ac:dyDescent="0.35">
      <c r="A98" s="24">
        <v>86</v>
      </c>
      <c r="B98" s="103">
        <f t="shared" si="10"/>
        <v>805.23243451820974</v>
      </c>
      <c r="C98" s="103">
        <f t="shared" si="11"/>
        <v>548.5914442162217</v>
      </c>
      <c r="D98" s="103">
        <f t="shared" si="12"/>
        <v>256.64099030198804</v>
      </c>
      <c r="E98" s="103">
        <f t="shared" si="13"/>
        <v>131405.30562159122</v>
      </c>
      <c r="F98" s="6"/>
      <c r="G98" s="2">
        <v>86</v>
      </c>
      <c r="H98" s="101">
        <v>805.23243451820974</v>
      </c>
      <c r="I98" s="101">
        <v>548.59144421622182</v>
      </c>
      <c r="J98" s="101">
        <v>256.64099030198793</v>
      </c>
      <c r="K98" s="101">
        <v>131405.30562159122</v>
      </c>
      <c r="L98" s="17"/>
    </row>
    <row r="99" spans="1:12" x14ac:dyDescent="0.35">
      <c r="A99" s="24">
        <v>87</v>
      </c>
      <c r="B99" s="103">
        <f t="shared" si="10"/>
        <v>805.23243451820974</v>
      </c>
      <c r="C99" s="103">
        <f t="shared" si="11"/>
        <v>547.52210675663014</v>
      </c>
      <c r="D99" s="103">
        <f t="shared" si="12"/>
        <v>257.71032776157961</v>
      </c>
      <c r="E99" s="103">
        <f t="shared" si="13"/>
        <v>131147.59529382965</v>
      </c>
      <c r="F99" s="6"/>
      <c r="G99" s="2">
        <v>87</v>
      </c>
      <c r="H99" s="101">
        <v>805.23243451820974</v>
      </c>
      <c r="I99" s="101">
        <v>547.52210675663014</v>
      </c>
      <c r="J99" s="101">
        <v>257.71032776157961</v>
      </c>
      <c r="K99" s="101">
        <v>131147.59529382965</v>
      </c>
      <c r="L99" s="17"/>
    </row>
    <row r="100" spans="1:12" x14ac:dyDescent="0.35">
      <c r="A100" s="24">
        <v>88</v>
      </c>
      <c r="B100" s="103">
        <f t="shared" si="10"/>
        <v>805.23243451820974</v>
      </c>
      <c r="C100" s="103">
        <f t="shared" si="11"/>
        <v>546.44831372429019</v>
      </c>
      <c r="D100" s="103">
        <f t="shared" si="12"/>
        <v>258.78412079391956</v>
      </c>
      <c r="E100" s="103">
        <f t="shared" si="13"/>
        <v>130888.81117303573</v>
      </c>
      <c r="F100" s="6"/>
      <c r="G100" s="2">
        <v>88</v>
      </c>
      <c r="H100" s="101">
        <v>805.23243451820974</v>
      </c>
      <c r="I100" s="101">
        <v>546.4483137242903</v>
      </c>
      <c r="J100" s="101">
        <v>258.78412079391944</v>
      </c>
      <c r="K100" s="101">
        <v>130888.81117303573</v>
      </c>
      <c r="L100" s="17"/>
    </row>
    <row r="101" spans="1:12" x14ac:dyDescent="0.35">
      <c r="A101" s="24">
        <v>89</v>
      </c>
      <c r="B101" s="103">
        <f t="shared" si="10"/>
        <v>805.23243451820974</v>
      </c>
      <c r="C101" s="103">
        <f t="shared" si="11"/>
        <v>545.37004655431554</v>
      </c>
      <c r="D101" s="103">
        <f t="shared" si="12"/>
        <v>259.86238796389421</v>
      </c>
      <c r="E101" s="103">
        <f t="shared" si="13"/>
        <v>130628.94878507184</v>
      </c>
      <c r="F101" s="6"/>
      <c r="G101" s="2">
        <v>89</v>
      </c>
      <c r="H101" s="101">
        <v>805.23243451820974</v>
      </c>
      <c r="I101" s="101">
        <v>545.37004655431554</v>
      </c>
      <c r="J101" s="101">
        <v>259.86238796389421</v>
      </c>
      <c r="K101" s="101">
        <v>130628.94878507184</v>
      </c>
      <c r="L101" s="17"/>
    </row>
    <row r="102" spans="1:12" x14ac:dyDescent="0.35">
      <c r="A102" s="24">
        <v>90</v>
      </c>
      <c r="B102" s="103">
        <f t="shared" si="10"/>
        <v>805.23243451820974</v>
      </c>
      <c r="C102" s="103">
        <f t="shared" si="11"/>
        <v>544.28728660446598</v>
      </c>
      <c r="D102" s="103">
        <f t="shared" si="12"/>
        <v>260.94514791374377</v>
      </c>
      <c r="E102" s="103">
        <f t="shared" si="13"/>
        <v>130368.00363715809</v>
      </c>
      <c r="F102" s="6"/>
      <c r="G102" s="2">
        <v>90</v>
      </c>
      <c r="H102" s="101">
        <v>805.23243451820974</v>
      </c>
      <c r="I102" s="101">
        <v>544.28728660446609</v>
      </c>
      <c r="J102" s="101">
        <v>260.94514791374365</v>
      </c>
      <c r="K102" s="101">
        <v>130368.00363715809</v>
      </c>
      <c r="L102" s="17"/>
    </row>
    <row r="103" spans="1:12" x14ac:dyDescent="0.35">
      <c r="A103" s="24">
        <v>91</v>
      </c>
      <c r="B103" s="103">
        <f t="shared" si="10"/>
        <v>805.23243451820974</v>
      </c>
      <c r="C103" s="103">
        <f t="shared" si="11"/>
        <v>543.20001515482545</v>
      </c>
      <c r="D103" s="103">
        <f t="shared" si="12"/>
        <v>262.03241936338429</v>
      </c>
      <c r="E103" s="103">
        <f t="shared" si="13"/>
        <v>130105.97121779471</v>
      </c>
      <c r="F103" s="6"/>
      <c r="G103" s="2">
        <v>91</v>
      </c>
      <c r="H103" s="101">
        <v>805.23243451820974</v>
      </c>
      <c r="I103" s="101">
        <v>543.20001515482545</v>
      </c>
      <c r="J103" s="101">
        <v>262.03241936338429</v>
      </c>
      <c r="K103" s="101">
        <v>130105.97121779471</v>
      </c>
      <c r="L103" s="17"/>
    </row>
    <row r="104" spans="1:12" x14ac:dyDescent="0.35">
      <c r="A104" s="24">
        <v>92</v>
      </c>
      <c r="B104" s="103">
        <f t="shared" si="10"/>
        <v>805.23243451820974</v>
      </c>
      <c r="C104" s="103">
        <f t="shared" si="11"/>
        <v>542.10821340747805</v>
      </c>
      <c r="D104" s="103">
        <f t="shared" si="12"/>
        <v>263.1242211107317</v>
      </c>
      <c r="E104" s="103">
        <f t="shared" si="13"/>
        <v>129842.84699668398</v>
      </c>
      <c r="F104" s="6"/>
      <c r="G104" s="2">
        <v>92</v>
      </c>
      <c r="H104" s="101">
        <v>805.23243451820974</v>
      </c>
      <c r="I104" s="101">
        <v>542.10821340747793</v>
      </c>
      <c r="J104" s="101">
        <v>263.12422111073181</v>
      </c>
      <c r="K104" s="101">
        <v>129842.84699668398</v>
      </c>
      <c r="L104" s="17"/>
    </row>
    <row r="105" spans="1:12" x14ac:dyDescent="0.35">
      <c r="A105" s="24">
        <v>93</v>
      </c>
      <c r="B105" s="103">
        <f t="shared" si="10"/>
        <v>805.23243451820974</v>
      </c>
      <c r="C105" s="103">
        <f t="shared" si="11"/>
        <v>541.0118624861833</v>
      </c>
      <c r="D105" s="103">
        <f t="shared" si="12"/>
        <v>264.22057203202644</v>
      </c>
      <c r="E105" s="103">
        <f t="shared" si="13"/>
        <v>129578.62642465196</v>
      </c>
      <c r="F105" s="6"/>
      <c r="G105" s="2">
        <v>93</v>
      </c>
      <c r="H105" s="101">
        <v>805.23243451820974</v>
      </c>
      <c r="I105" s="101">
        <v>541.0118624861833</v>
      </c>
      <c r="J105" s="101">
        <v>264.22057203202644</v>
      </c>
      <c r="K105" s="101">
        <v>129578.62642465196</v>
      </c>
      <c r="L105" s="17"/>
    </row>
    <row r="106" spans="1:12" x14ac:dyDescent="0.35">
      <c r="A106" s="24">
        <v>94</v>
      </c>
      <c r="B106" s="103">
        <f t="shared" si="10"/>
        <v>805.23243451820974</v>
      </c>
      <c r="C106" s="103">
        <f t="shared" si="11"/>
        <v>539.91094343604982</v>
      </c>
      <c r="D106" s="103">
        <f t="shared" si="12"/>
        <v>265.32149108215992</v>
      </c>
      <c r="E106" s="103">
        <f t="shared" si="13"/>
        <v>129313.3049335698</v>
      </c>
      <c r="F106" s="6"/>
      <c r="G106" s="2">
        <v>94</v>
      </c>
      <c r="H106" s="101">
        <v>805.23243451820974</v>
      </c>
      <c r="I106" s="101">
        <v>539.91094343604982</v>
      </c>
      <c r="J106" s="101">
        <v>265.32149108215992</v>
      </c>
      <c r="K106" s="101">
        <v>129313.3049335698</v>
      </c>
      <c r="L106" s="17"/>
    </row>
    <row r="107" spans="1:12" x14ac:dyDescent="0.35">
      <c r="A107" s="24">
        <v>95</v>
      </c>
      <c r="B107" s="103">
        <f t="shared" si="10"/>
        <v>805.23243451820974</v>
      </c>
      <c r="C107" s="103">
        <f t="shared" si="11"/>
        <v>538.8054372232076</v>
      </c>
      <c r="D107" s="103">
        <f t="shared" si="12"/>
        <v>266.42699729500214</v>
      </c>
      <c r="E107" s="103">
        <f t="shared" si="13"/>
        <v>129046.8779362748</v>
      </c>
      <c r="F107" s="6"/>
      <c r="G107" s="2">
        <v>95</v>
      </c>
      <c r="H107" s="101">
        <v>805.23243451820974</v>
      </c>
      <c r="I107" s="101">
        <v>538.80543722320749</v>
      </c>
      <c r="J107" s="101">
        <v>266.42699729500225</v>
      </c>
      <c r="K107" s="101">
        <v>129046.8779362748</v>
      </c>
      <c r="L107" s="17"/>
    </row>
    <row r="108" spans="1:12" x14ac:dyDescent="0.35">
      <c r="A108" s="24">
        <v>96</v>
      </c>
      <c r="B108" s="103">
        <f t="shared" si="10"/>
        <v>805.23243451820974</v>
      </c>
      <c r="C108" s="103">
        <f t="shared" si="11"/>
        <v>537.69532473447839</v>
      </c>
      <c r="D108" s="103">
        <f t="shared" si="12"/>
        <v>267.53710978373135</v>
      </c>
      <c r="E108" s="103">
        <f t="shared" si="13"/>
        <v>128779.34082649107</v>
      </c>
      <c r="F108" s="6"/>
      <c r="G108" s="2">
        <v>96</v>
      </c>
      <c r="H108" s="101">
        <v>805.23243451820974</v>
      </c>
      <c r="I108" s="101">
        <v>537.69532473447839</v>
      </c>
      <c r="J108" s="101">
        <v>267.53710978373135</v>
      </c>
      <c r="K108" s="101">
        <v>128779.34082649107</v>
      </c>
      <c r="L108" s="17"/>
    </row>
    <row r="109" spans="1:12" x14ac:dyDescent="0.35">
      <c r="A109" s="24">
        <v>97</v>
      </c>
      <c r="B109" s="103">
        <f t="shared" si="10"/>
        <v>805.23243451820974</v>
      </c>
      <c r="C109" s="103">
        <f t="shared" si="11"/>
        <v>536.58058677704616</v>
      </c>
      <c r="D109" s="103">
        <f t="shared" si="12"/>
        <v>268.65184774116358</v>
      </c>
      <c r="E109" s="103">
        <f t="shared" si="13"/>
        <v>128510.68897874991</v>
      </c>
      <c r="F109" s="6"/>
      <c r="G109" s="2">
        <v>97</v>
      </c>
      <c r="H109" s="101">
        <v>805.23243451820974</v>
      </c>
      <c r="I109" s="101">
        <v>536.58058677704616</v>
      </c>
      <c r="J109" s="101">
        <v>268.65184774116358</v>
      </c>
      <c r="K109" s="101">
        <v>128510.68897874991</v>
      </c>
      <c r="L109" s="17"/>
    </row>
    <row r="110" spans="1:12" x14ac:dyDescent="0.35">
      <c r="A110" s="24">
        <v>98</v>
      </c>
      <c r="B110" s="103">
        <f t="shared" si="10"/>
        <v>805.23243451820974</v>
      </c>
      <c r="C110" s="103">
        <f t="shared" si="11"/>
        <v>535.46120407812464</v>
      </c>
      <c r="D110" s="103">
        <f t="shared" si="12"/>
        <v>269.77123044008511</v>
      </c>
      <c r="E110" s="103">
        <f t="shared" si="13"/>
        <v>128240.91774830982</v>
      </c>
      <c r="F110" s="6"/>
      <c r="G110" s="2">
        <v>98</v>
      </c>
      <c r="H110" s="101">
        <v>805.23243451820974</v>
      </c>
      <c r="I110" s="101">
        <v>535.46120407812464</v>
      </c>
      <c r="J110" s="101">
        <v>269.77123044008511</v>
      </c>
      <c r="K110" s="101">
        <v>128240.91774830982</v>
      </c>
      <c r="L110" s="17"/>
    </row>
    <row r="111" spans="1:12" x14ac:dyDescent="0.35">
      <c r="A111" s="24">
        <v>99</v>
      </c>
      <c r="B111" s="103">
        <f t="shared" si="10"/>
        <v>805.23243451820974</v>
      </c>
      <c r="C111" s="103">
        <f t="shared" si="11"/>
        <v>534.33715728462425</v>
      </c>
      <c r="D111" s="103">
        <f t="shared" si="12"/>
        <v>270.89527723358549</v>
      </c>
      <c r="E111" s="103">
        <f t="shared" si="13"/>
        <v>127970.02247107623</v>
      </c>
      <c r="F111" s="6"/>
      <c r="G111" s="2">
        <v>99</v>
      </c>
      <c r="H111" s="101">
        <v>805.23243451820974</v>
      </c>
      <c r="I111" s="101">
        <v>534.33715728462425</v>
      </c>
      <c r="J111" s="101">
        <v>270.89527723358549</v>
      </c>
      <c r="K111" s="101">
        <v>127970.02247107623</v>
      </c>
      <c r="L111" s="17"/>
    </row>
    <row r="112" spans="1:12" x14ac:dyDescent="0.35">
      <c r="A112" s="24">
        <v>100</v>
      </c>
      <c r="B112" s="103">
        <f t="shared" si="10"/>
        <v>805.23243451820974</v>
      </c>
      <c r="C112" s="103">
        <f t="shared" si="11"/>
        <v>533.20842696281761</v>
      </c>
      <c r="D112" s="103">
        <f t="shared" si="12"/>
        <v>272.02400755539213</v>
      </c>
      <c r="E112" s="103">
        <f t="shared" si="13"/>
        <v>127697.99846352084</v>
      </c>
      <c r="F112" s="6"/>
      <c r="G112" s="2">
        <v>100</v>
      </c>
      <c r="H112" s="101">
        <v>805.23243451820974</v>
      </c>
      <c r="I112" s="101">
        <v>533.20842696281761</v>
      </c>
      <c r="J112" s="101">
        <v>272.02400755539213</v>
      </c>
      <c r="K112" s="101">
        <v>127697.99846352084</v>
      </c>
      <c r="L112" s="17"/>
    </row>
    <row r="113" spans="1:12" x14ac:dyDescent="0.35">
      <c r="A113" s="24">
        <v>101</v>
      </c>
      <c r="B113" s="103">
        <f t="shared" si="10"/>
        <v>805.23243451820974</v>
      </c>
      <c r="C113" s="103">
        <f t="shared" si="11"/>
        <v>532.07499359800352</v>
      </c>
      <c r="D113" s="103">
        <f t="shared" si="12"/>
        <v>273.15744092020623</v>
      </c>
      <c r="E113" s="103">
        <f t="shared" si="13"/>
        <v>127424.84102260064</v>
      </c>
      <c r="F113" s="6"/>
      <c r="G113" s="2">
        <v>101</v>
      </c>
      <c r="H113" s="101">
        <v>805.23243451820974</v>
      </c>
      <c r="I113" s="101">
        <v>532.07499359800352</v>
      </c>
      <c r="J113" s="101">
        <v>273.15744092020623</v>
      </c>
      <c r="K113" s="101">
        <v>127424.84102260064</v>
      </c>
      <c r="L113" s="17"/>
    </row>
    <row r="114" spans="1:12" x14ac:dyDescent="0.35">
      <c r="A114" s="24">
        <v>102</v>
      </c>
      <c r="B114" s="103">
        <f t="shared" si="10"/>
        <v>805.23243451820974</v>
      </c>
      <c r="C114" s="103">
        <f t="shared" si="11"/>
        <v>530.93683759416933</v>
      </c>
      <c r="D114" s="103">
        <f t="shared" si="12"/>
        <v>274.29559692404041</v>
      </c>
      <c r="E114" s="103">
        <f t="shared" si="13"/>
        <v>127150.5454256766</v>
      </c>
      <c r="F114" s="6"/>
      <c r="G114" s="2">
        <v>102</v>
      </c>
      <c r="H114" s="101">
        <v>805.23243451820974</v>
      </c>
      <c r="I114" s="101">
        <v>530.93683759416933</v>
      </c>
      <c r="J114" s="101">
        <v>274.29559692404041</v>
      </c>
      <c r="K114" s="101">
        <v>127150.5454256766</v>
      </c>
      <c r="L114" s="17"/>
    </row>
    <row r="115" spans="1:12" x14ac:dyDescent="0.35">
      <c r="A115" s="24">
        <v>103</v>
      </c>
      <c r="B115" s="103">
        <f t="shared" si="10"/>
        <v>805.23243451820974</v>
      </c>
      <c r="C115" s="103">
        <f t="shared" si="11"/>
        <v>529.79393927365254</v>
      </c>
      <c r="D115" s="103">
        <f t="shared" si="12"/>
        <v>275.4384952445572</v>
      </c>
      <c r="E115" s="103">
        <f t="shared" si="13"/>
        <v>126875.10693043204</v>
      </c>
      <c r="F115" s="6"/>
      <c r="G115" s="2">
        <v>103</v>
      </c>
      <c r="H115" s="101">
        <v>805.23243451820974</v>
      </c>
      <c r="I115" s="101">
        <v>529.79393927365254</v>
      </c>
      <c r="J115" s="101">
        <v>275.4384952445572</v>
      </c>
      <c r="K115" s="101">
        <v>126875.10693043204</v>
      </c>
      <c r="L115" s="17"/>
    </row>
    <row r="116" spans="1:12" x14ac:dyDescent="0.35">
      <c r="A116" s="24">
        <v>104</v>
      </c>
      <c r="B116" s="103">
        <f t="shared" si="10"/>
        <v>805.23243451820974</v>
      </c>
      <c r="C116" s="103">
        <f t="shared" si="11"/>
        <v>528.64627887680024</v>
      </c>
      <c r="D116" s="103">
        <f t="shared" si="12"/>
        <v>276.5861556414095</v>
      </c>
      <c r="E116" s="103">
        <f t="shared" si="13"/>
        <v>126598.52077479062</v>
      </c>
      <c r="F116" s="6"/>
      <c r="G116" s="2">
        <v>104</v>
      </c>
      <c r="H116" s="101">
        <v>805.23243451820974</v>
      </c>
      <c r="I116" s="101">
        <v>528.64627887680024</v>
      </c>
      <c r="J116" s="101">
        <v>276.5861556414095</v>
      </c>
      <c r="K116" s="101">
        <v>126598.52077479062</v>
      </c>
      <c r="L116" s="17"/>
    </row>
    <row r="117" spans="1:12" x14ac:dyDescent="0.35">
      <c r="A117" s="24">
        <v>105</v>
      </c>
      <c r="B117" s="103">
        <f t="shared" si="10"/>
        <v>805.23243451820974</v>
      </c>
      <c r="C117" s="103">
        <f t="shared" si="11"/>
        <v>527.49383656162763</v>
      </c>
      <c r="D117" s="103">
        <f t="shared" si="12"/>
        <v>277.73859795658211</v>
      </c>
      <c r="E117" s="103">
        <f t="shared" si="13"/>
        <v>126320.78217683404</v>
      </c>
      <c r="F117" s="6"/>
      <c r="G117" s="2">
        <v>105</v>
      </c>
      <c r="H117" s="101">
        <v>805.23243451820974</v>
      </c>
      <c r="I117" s="101">
        <v>527.49383656162763</v>
      </c>
      <c r="J117" s="101">
        <v>277.73859795658211</v>
      </c>
      <c r="K117" s="101">
        <v>126320.78217683404</v>
      </c>
      <c r="L117" s="17"/>
    </row>
    <row r="118" spans="1:12" x14ac:dyDescent="0.35">
      <c r="A118" s="24">
        <v>106</v>
      </c>
      <c r="B118" s="103">
        <f t="shared" si="10"/>
        <v>805.23243451820974</v>
      </c>
      <c r="C118" s="103">
        <f t="shared" si="11"/>
        <v>526.33659240347515</v>
      </c>
      <c r="D118" s="103">
        <f t="shared" si="12"/>
        <v>278.89584211473459</v>
      </c>
      <c r="E118" s="103">
        <f t="shared" si="13"/>
        <v>126041.8863347193</v>
      </c>
      <c r="F118" s="6"/>
      <c r="G118" s="2">
        <v>106</v>
      </c>
      <c r="H118" s="101">
        <v>805.23243451820974</v>
      </c>
      <c r="I118" s="101">
        <v>526.33659240347515</v>
      </c>
      <c r="J118" s="101">
        <v>278.89584211473459</v>
      </c>
      <c r="K118" s="101">
        <v>126041.8863347193</v>
      </c>
      <c r="L118" s="17"/>
    </row>
    <row r="119" spans="1:12" x14ac:dyDescent="0.35">
      <c r="A119" s="24">
        <v>107</v>
      </c>
      <c r="B119" s="103">
        <f t="shared" si="10"/>
        <v>805.23243451820974</v>
      </c>
      <c r="C119" s="103">
        <f t="shared" si="11"/>
        <v>525.17452639466376</v>
      </c>
      <c r="D119" s="103">
        <f t="shared" si="12"/>
        <v>280.05790812354599</v>
      </c>
      <c r="E119" s="103">
        <f t="shared" si="13"/>
        <v>125761.82842659575</v>
      </c>
      <c r="F119" s="6"/>
      <c r="G119" s="2">
        <v>107</v>
      </c>
      <c r="H119" s="101">
        <v>805.23243451820974</v>
      </c>
      <c r="I119" s="101">
        <v>525.17452639466376</v>
      </c>
      <c r="J119" s="101">
        <v>280.05790812354599</v>
      </c>
      <c r="K119" s="101">
        <v>125761.82842659575</v>
      </c>
      <c r="L119" s="17"/>
    </row>
    <row r="120" spans="1:12" x14ac:dyDescent="0.35">
      <c r="A120" s="24">
        <v>108</v>
      </c>
      <c r="B120" s="103">
        <f t="shared" si="10"/>
        <v>805.23243451820974</v>
      </c>
      <c r="C120" s="103">
        <f t="shared" si="11"/>
        <v>524.00761844414899</v>
      </c>
      <c r="D120" s="103">
        <f t="shared" si="12"/>
        <v>281.22481607406075</v>
      </c>
      <c r="E120" s="103">
        <f t="shared" si="13"/>
        <v>125480.60361052169</v>
      </c>
      <c r="F120" s="6"/>
      <c r="G120" s="2">
        <v>108</v>
      </c>
      <c r="H120" s="101">
        <v>805.23243451820974</v>
      </c>
      <c r="I120" s="101">
        <v>524.00761844414899</v>
      </c>
      <c r="J120" s="101">
        <v>281.22481607406075</v>
      </c>
      <c r="K120" s="101">
        <v>125480.60361052169</v>
      </c>
      <c r="L120" s="17"/>
    </row>
    <row r="121" spans="1:12" x14ac:dyDescent="0.35">
      <c r="A121" s="24">
        <v>109</v>
      </c>
      <c r="B121" s="103">
        <f t="shared" si="10"/>
        <v>805.23243451820974</v>
      </c>
      <c r="C121" s="103">
        <f t="shared" si="11"/>
        <v>522.83584837717376</v>
      </c>
      <c r="D121" s="103">
        <f t="shared" si="12"/>
        <v>282.39658614103598</v>
      </c>
      <c r="E121" s="103">
        <f t="shared" si="13"/>
        <v>125198.20702438065</v>
      </c>
      <c r="F121" s="6"/>
      <c r="G121" s="2">
        <v>109</v>
      </c>
      <c r="H121" s="101">
        <v>805.23243451820974</v>
      </c>
      <c r="I121" s="101">
        <v>522.83584837717376</v>
      </c>
      <c r="J121" s="101">
        <v>282.39658614103598</v>
      </c>
      <c r="K121" s="101">
        <v>125198.20702438065</v>
      </c>
      <c r="L121" s="17"/>
    </row>
    <row r="122" spans="1:12" x14ac:dyDescent="0.35">
      <c r="A122" s="24">
        <v>110</v>
      </c>
      <c r="B122" s="103">
        <f t="shared" si="10"/>
        <v>805.23243451820974</v>
      </c>
      <c r="C122" s="103">
        <f t="shared" si="11"/>
        <v>521.65919593491947</v>
      </c>
      <c r="D122" s="103">
        <f t="shared" si="12"/>
        <v>283.57323858329028</v>
      </c>
      <c r="E122" s="103">
        <f t="shared" si="13"/>
        <v>124914.63378579736</v>
      </c>
      <c r="F122" s="6"/>
      <c r="G122" s="2">
        <v>110</v>
      </c>
      <c r="H122" s="101">
        <v>805.23243451820974</v>
      </c>
      <c r="I122" s="101">
        <v>521.65919593491947</v>
      </c>
      <c r="J122" s="101">
        <v>283.57323858329028</v>
      </c>
      <c r="K122" s="101">
        <v>124914.63378579736</v>
      </c>
      <c r="L122" s="17"/>
    </row>
    <row r="123" spans="1:12" x14ac:dyDescent="0.35">
      <c r="A123" s="24">
        <v>111</v>
      </c>
      <c r="B123" s="103">
        <f t="shared" si="10"/>
        <v>805.23243451820974</v>
      </c>
      <c r="C123" s="103">
        <f t="shared" si="11"/>
        <v>520.4776407741557</v>
      </c>
      <c r="D123" s="103">
        <f t="shared" si="12"/>
        <v>284.75479374405404</v>
      </c>
      <c r="E123" s="103">
        <f t="shared" si="13"/>
        <v>124629.8789920533</v>
      </c>
      <c r="F123" s="6"/>
      <c r="G123" s="2">
        <v>111</v>
      </c>
      <c r="H123" s="101">
        <v>805.23243451820974</v>
      </c>
      <c r="I123" s="101">
        <v>520.4776407741557</v>
      </c>
      <c r="J123" s="101">
        <v>284.75479374405404</v>
      </c>
      <c r="K123" s="101">
        <v>124629.8789920533</v>
      </c>
      <c r="L123" s="17"/>
    </row>
    <row r="124" spans="1:12" x14ac:dyDescent="0.35">
      <c r="A124" s="24">
        <v>112</v>
      </c>
      <c r="B124" s="103">
        <f t="shared" si="10"/>
        <v>805.23243451820974</v>
      </c>
      <c r="C124" s="103">
        <f t="shared" si="11"/>
        <v>519.29116246688875</v>
      </c>
      <c r="D124" s="103">
        <f t="shared" si="12"/>
        <v>285.94127205132099</v>
      </c>
      <c r="E124" s="103">
        <f t="shared" si="13"/>
        <v>124343.93772000198</v>
      </c>
      <c r="F124" s="6"/>
      <c r="G124" s="2">
        <v>112</v>
      </c>
      <c r="H124" s="101">
        <v>805.23243451820974</v>
      </c>
      <c r="I124" s="101">
        <v>519.29116246688875</v>
      </c>
      <c r="J124" s="101">
        <v>285.94127205132099</v>
      </c>
      <c r="K124" s="101">
        <v>124343.93772000198</v>
      </c>
      <c r="L124" s="17"/>
    </row>
    <row r="125" spans="1:12" x14ac:dyDescent="0.35">
      <c r="A125" s="24">
        <v>113</v>
      </c>
      <c r="B125" s="103">
        <f t="shared" si="10"/>
        <v>805.23243451820974</v>
      </c>
      <c r="C125" s="103">
        <f t="shared" si="11"/>
        <v>518.09974050000835</v>
      </c>
      <c r="D125" s="103">
        <f t="shared" si="12"/>
        <v>287.13269401820139</v>
      </c>
      <c r="E125" s="103">
        <f t="shared" si="13"/>
        <v>124056.80502598378</v>
      </c>
      <c r="F125" s="6"/>
      <c r="G125" s="2">
        <v>113</v>
      </c>
      <c r="H125" s="101">
        <v>805.23243451820974</v>
      </c>
      <c r="I125" s="101">
        <v>518.09974050000824</v>
      </c>
      <c r="J125" s="101">
        <v>287.13269401820151</v>
      </c>
      <c r="K125" s="101">
        <v>124056.80502598378</v>
      </c>
      <c r="L125" s="17"/>
    </row>
    <row r="126" spans="1:12" x14ac:dyDescent="0.35">
      <c r="A126" s="24">
        <v>114</v>
      </c>
      <c r="B126" s="103">
        <f t="shared" si="10"/>
        <v>805.23243451820974</v>
      </c>
      <c r="C126" s="103">
        <f t="shared" si="11"/>
        <v>516.90335427493244</v>
      </c>
      <c r="D126" s="103">
        <f t="shared" si="12"/>
        <v>288.3290802432773</v>
      </c>
      <c r="E126" s="103">
        <f t="shared" si="13"/>
        <v>123768.4759457405</v>
      </c>
      <c r="F126" s="6"/>
      <c r="G126" s="2">
        <v>114</v>
      </c>
      <c r="H126" s="101">
        <v>805.23243451820974</v>
      </c>
      <c r="I126" s="101">
        <v>516.90335427493244</v>
      </c>
      <c r="J126" s="101">
        <v>288.3290802432773</v>
      </c>
      <c r="K126" s="101">
        <v>123768.4759457405</v>
      </c>
      <c r="L126" s="17"/>
    </row>
    <row r="127" spans="1:12" x14ac:dyDescent="0.35">
      <c r="A127" s="24">
        <v>115</v>
      </c>
      <c r="B127" s="103">
        <f t="shared" si="10"/>
        <v>805.23243451820974</v>
      </c>
      <c r="C127" s="103">
        <f t="shared" si="11"/>
        <v>515.70198310725209</v>
      </c>
      <c r="D127" s="103">
        <f t="shared" si="12"/>
        <v>289.53045141095765</v>
      </c>
      <c r="E127" s="103">
        <f t="shared" si="13"/>
        <v>123478.94549432954</v>
      </c>
      <c r="F127" s="6"/>
      <c r="G127" s="2">
        <v>115</v>
      </c>
      <c r="H127" s="101">
        <v>805.23243451820974</v>
      </c>
      <c r="I127" s="101">
        <v>515.70198310725209</v>
      </c>
      <c r="J127" s="101">
        <v>289.53045141095765</v>
      </c>
      <c r="K127" s="101">
        <v>123478.94549432954</v>
      </c>
      <c r="L127" s="17"/>
    </row>
    <row r="128" spans="1:12" x14ac:dyDescent="0.35">
      <c r="A128" s="24">
        <v>116</v>
      </c>
      <c r="B128" s="103">
        <f t="shared" si="10"/>
        <v>805.23243451820974</v>
      </c>
      <c r="C128" s="103">
        <f t="shared" si="11"/>
        <v>514.49560622637307</v>
      </c>
      <c r="D128" s="103">
        <f t="shared" si="12"/>
        <v>290.73682829183667</v>
      </c>
      <c r="E128" s="103">
        <f t="shared" si="13"/>
        <v>123188.20866603771</v>
      </c>
      <c r="F128" s="6"/>
      <c r="G128" s="2">
        <v>116</v>
      </c>
      <c r="H128" s="101">
        <v>805.23243451820974</v>
      </c>
      <c r="I128" s="101">
        <v>514.49560622637307</v>
      </c>
      <c r="J128" s="101">
        <v>290.73682829183667</v>
      </c>
      <c r="K128" s="101">
        <v>123188.20866603771</v>
      </c>
      <c r="L128" s="17"/>
    </row>
    <row r="129" spans="1:12" x14ac:dyDescent="0.35">
      <c r="A129" s="24">
        <v>117</v>
      </c>
      <c r="B129" s="103">
        <f t="shared" si="10"/>
        <v>805.23243451820974</v>
      </c>
      <c r="C129" s="103">
        <f t="shared" si="11"/>
        <v>513.28420277515715</v>
      </c>
      <c r="D129" s="103">
        <f t="shared" si="12"/>
        <v>291.94823174305259</v>
      </c>
      <c r="E129" s="103">
        <f t="shared" si="13"/>
        <v>122896.26043429466</v>
      </c>
      <c r="F129" s="6"/>
      <c r="G129" s="2">
        <v>117</v>
      </c>
      <c r="H129" s="101">
        <v>805.23243451820974</v>
      </c>
      <c r="I129" s="101">
        <v>513.28420277515715</v>
      </c>
      <c r="J129" s="101">
        <v>291.94823174305259</v>
      </c>
      <c r="K129" s="101">
        <v>122896.26043429466</v>
      </c>
      <c r="L129" s="17"/>
    </row>
    <row r="130" spans="1:12" x14ac:dyDescent="0.35">
      <c r="A130" s="24">
        <v>118</v>
      </c>
      <c r="B130" s="103">
        <f t="shared" si="10"/>
        <v>805.23243451820974</v>
      </c>
      <c r="C130" s="103">
        <f t="shared" si="11"/>
        <v>512.06775180956117</v>
      </c>
      <c r="D130" s="103">
        <f t="shared" si="12"/>
        <v>293.16468270864857</v>
      </c>
      <c r="E130" s="103">
        <f t="shared" si="13"/>
        <v>122603.09575158601</v>
      </c>
      <c r="F130" s="6"/>
      <c r="G130" s="2">
        <v>118</v>
      </c>
      <c r="H130" s="101">
        <v>805.23243451820974</v>
      </c>
      <c r="I130" s="101">
        <v>512.06775180956106</v>
      </c>
      <c r="J130" s="101">
        <v>293.16468270864868</v>
      </c>
      <c r="K130" s="101">
        <v>122603.09575158601</v>
      </c>
      <c r="L130" s="17"/>
    </row>
    <row r="131" spans="1:12" x14ac:dyDescent="0.35">
      <c r="A131" s="24">
        <v>119</v>
      </c>
      <c r="B131" s="103">
        <f t="shared" si="10"/>
        <v>805.23243451820974</v>
      </c>
      <c r="C131" s="103">
        <f t="shared" si="11"/>
        <v>510.84623229827503</v>
      </c>
      <c r="D131" s="103">
        <f t="shared" si="12"/>
        <v>294.38620221993472</v>
      </c>
      <c r="E131" s="103">
        <f t="shared" si="13"/>
        <v>122308.70954936607</v>
      </c>
      <c r="F131" s="6"/>
      <c r="G131" s="2">
        <v>119</v>
      </c>
      <c r="H131" s="101">
        <v>805.23243451820974</v>
      </c>
      <c r="I131" s="101">
        <v>510.84623229827503</v>
      </c>
      <c r="J131" s="101">
        <v>294.38620221993472</v>
      </c>
      <c r="K131" s="101">
        <v>122308.70954936607</v>
      </c>
      <c r="L131" s="17"/>
    </row>
    <row r="132" spans="1:12" x14ac:dyDescent="0.35">
      <c r="A132" s="24">
        <v>120</v>
      </c>
      <c r="B132" s="103">
        <f t="shared" si="10"/>
        <v>805.23243451820974</v>
      </c>
      <c r="C132" s="103">
        <f t="shared" si="11"/>
        <v>509.61962312235869</v>
      </c>
      <c r="D132" s="103">
        <f t="shared" si="12"/>
        <v>295.61281139585105</v>
      </c>
      <c r="E132" s="103">
        <f t="shared" si="13"/>
        <v>122013.09673797022</v>
      </c>
      <c r="F132" s="6"/>
      <c r="G132" s="2">
        <v>120</v>
      </c>
      <c r="H132" s="101">
        <v>805.23243451820974</v>
      </c>
      <c r="I132" s="101">
        <v>509.61962312235869</v>
      </c>
      <c r="J132" s="101">
        <v>295.61281139585105</v>
      </c>
      <c r="K132" s="101">
        <v>122013.09673797022</v>
      </c>
      <c r="L132" s="17"/>
    </row>
    <row r="133" spans="1:12" x14ac:dyDescent="0.35">
      <c r="A133" s="24">
        <v>121</v>
      </c>
      <c r="B133" s="103">
        <f t="shared" si="10"/>
        <v>805.23243451820974</v>
      </c>
      <c r="C133" s="103">
        <f t="shared" si="11"/>
        <v>508.38790307487596</v>
      </c>
      <c r="D133" s="103">
        <f t="shared" si="12"/>
        <v>296.84453144333378</v>
      </c>
      <c r="E133" s="103">
        <f t="shared" si="13"/>
        <v>121716.25220652689</v>
      </c>
      <c r="F133" s="6"/>
      <c r="G133" s="2">
        <v>121</v>
      </c>
      <c r="H133" s="101">
        <v>805.23243451820974</v>
      </c>
      <c r="I133" s="101">
        <v>508.38790307487596</v>
      </c>
      <c r="J133" s="101">
        <v>296.84453144333378</v>
      </c>
      <c r="K133" s="101">
        <v>121716.25220652689</v>
      </c>
      <c r="L133" s="17"/>
    </row>
    <row r="134" spans="1:12" x14ac:dyDescent="0.35">
      <c r="A134" s="24">
        <v>122</v>
      </c>
      <c r="B134" s="103">
        <f t="shared" si="10"/>
        <v>805.23243451820974</v>
      </c>
      <c r="C134" s="103">
        <f t="shared" si="11"/>
        <v>507.15105086052876</v>
      </c>
      <c r="D134" s="103">
        <f t="shared" si="12"/>
        <v>298.08138365768099</v>
      </c>
      <c r="E134" s="103">
        <f t="shared" si="13"/>
        <v>121418.1708228692</v>
      </c>
      <c r="F134" s="6"/>
      <c r="G134" s="2">
        <v>122</v>
      </c>
      <c r="H134" s="101">
        <v>805.23243451820974</v>
      </c>
      <c r="I134" s="101">
        <v>507.1510508605287</v>
      </c>
      <c r="J134" s="101">
        <v>298.08138365768104</v>
      </c>
      <c r="K134" s="101">
        <v>121418.1708228692</v>
      </c>
      <c r="L134" s="17"/>
    </row>
    <row r="135" spans="1:12" x14ac:dyDescent="0.35">
      <c r="A135" s="24">
        <v>123</v>
      </c>
      <c r="B135" s="103">
        <f t="shared" si="10"/>
        <v>805.23243451820974</v>
      </c>
      <c r="C135" s="103">
        <f t="shared" si="11"/>
        <v>505.90904509528838</v>
      </c>
      <c r="D135" s="103">
        <f t="shared" si="12"/>
        <v>299.32338942292137</v>
      </c>
      <c r="E135" s="103">
        <f t="shared" si="13"/>
        <v>121118.84743344628</v>
      </c>
      <c r="F135" s="6"/>
      <c r="G135" s="2">
        <v>123</v>
      </c>
      <c r="H135" s="101">
        <v>805.23243451820974</v>
      </c>
      <c r="I135" s="101">
        <v>505.90904509528838</v>
      </c>
      <c r="J135" s="101">
        <v>299.32338942292137</v>
      </c>
      <c r="K135" s="101">
        <v>121118.84743344628</v>
      </c>
      <c r="L135" s="17"/>
    </row>
    <row r="136" spans="1:12" x14ac:dyDescent="0.35">
      <c r="A136" s="24">
        <v>124</v>
      </c>
      <c r="B136" s="103">
        <f t="shared" si="10"/>
        <v>805.23243451820974</v>
      </c>
      <c r="C136" s="103">
        <f t="shared" si="11"/>
        <v>504.66186430602619</v>
      </c>
      <c r="D136" s="103">
        <f t="shared" si="12"/>
        <v>300.57057021218355</v>
      </c>
      <c r="E136" s="103">
        <f t="shared" si="13"/>
        <v>120818.2768632341</v>
      </c>
      <c r="F136" s="6"/>
      <c r="G136" s="2">
        <v>124</v>
      </c>
      <c r="H136" s="101">
        <v>805.23243451820974</v>
      </c>
      <c r="I136" s="101">
        <v>504.66186430602619</v>
      </c>
      <c r="J136" s="101">
        <v>300.57057021218355</v>
      </c>
      <c r="K136" s="101">
        <v>120818.2768632341</v>
      </c>
      <c r="L136" s="17"/>
    </row>
    <row r="137" spans="1:12" x14ac:dyDescent="0.35">
      <c r="A137" s="24">
        <v>125</v>
      </c>
      <c r="B137" s="103">
        <f t="shared" si="10"/>
        <v>805.23243451820974</v>
      </c>
      <c r="C137" s="103">
        <f t="shared" si="11"/>
        <v>503.40948693014212</v>
      </c>
      <c r="D137" s="103">
        <f t="shared" si="12"/>
        <v>301.82294758806762</v>
      </c>
      <c r="E137" s="103">
        <f t="shared" si="13"/>
        <v>120516.45391564604</v>
      </c>
      <c r="F137" s="6"/>
      <c r="G137" s="2">
        <v>125</v>
      </c>
      <c r="H137" s="101">
        <v>805.23243451820974</v>
      </c>
      <c r="I137" s="101">
        <v>503.40948693014212</v>
      </c>
      <c r="J137" s="101">
        <v>301.82294758806762</v>
      </c>
      <c r="K137" s="101">
        <v>120516.45391564604</v>
      </c>
      <c r="L137" s="17"/>
    </row>
    <row r="138" spans="1:12" x14ac:dyDescent="0.35">
      <c r="A138" s="24">
        <v>126</v>
      </c>
      <c r="B138" s="103">
        <f t="shared" si="10"/>
        <v>805.23243451820974</v>
      </c>
      <c r="C138" s="103">
        <f t="shared" si="11"/>
        <v>502.1518913151919</v>
      </c>
      <c r="D138" s="103">
        <f t="shared" si="12"/>
        <v>303.08054320301784</v>
      </c>
      <c r="E138" s="103">
        <f t="shared" si="13"/>
        <v>120213.37337244302</v>
      </c>
      <c r="F138" s="6"/>
      <c r="G138" s="2">
        <v>126</v>
      </c>
      <c r="H138" s="101">
        <v>805.23243451820974</v>
      </c>
      <c r="I138" s="101">
        <v>502.15189131519185</v>
      </c>
      <c r="J138" s="101">
        <v>303.0805432030179</v>
      </c>
      <c r="K138" s="101">
        <v>120213.37337244302</v>
      </c>
      <c r="L138" s="17"/>
    </row>
    <row r="139" spans="1:12" x14ac:dyDescent="0.35">
      <c r="A139" s="24">
        <v>127</v>
      </c>
      <c r="B139" s="103">
        <f t="shared" si="10"/>
        <v>805.23243451820974</v>
      </c>
      <c r="C139" s="103">
        <f t="shared" si="11"/>
        <v>500.88905571851257</v>
      </c>
      <c r="D139" s="103">
        <f t="shared" si="12"/>
        <v>304.34337879969718</v>
      </c>
      <c r="E139" s="103">
        <f t="shared" si="13"/>
        <v>119909.02999364333</v>
      </c>
      <c r="F139" s="6"/>
      <c r="G139" s="2">
        <v>127</v>
      </c>
      <c r="H139" s="101">
        <v>805.23243451820974</v>
      </c>
      <c r="I139" s="101">
        <v>500.88905571851262</v>
      </c>
      <c r="J139" s="101">
        <v>304.34337879969712</v>
      </c>
      <c r="K139" s="101">
        <v>119909.02999364333</v>
      </c>
      <c r="L139" s="17"/>
    </row>
    <row r="140" spans="1:12" x14ac:dyDescent="0.35">
      <c r="A140" s="24">
        <v>128</v>
      </c>
      <c r="B140" s="103">
        <f t="shared" si="10"/>
        <v>805.23243451820974</v>
      </c>
      <c r="C140" s="103">
        <f t="shared" si="11"/>
        <v>499.62095830684729</v>
      </c>
      <c r="D140" s="103">
        <f t="shared" si="12"/>
        <v>305.61147621136246</v>
      </c>
      <c r="E140" s="103">
        <f t="shared" si="13"/>
        <v>119603.41851743197</v>
      </c>
      <c r="F140" s="6"/>
      <c r="G140" s="2">
        <v>128</v>
      </c>
      <c r="H140" s="101">
        <v>805.23243451820974</v>
      </c>
      <c r="I140" s="101">
        <v>499.62095830684723</v>
      </c>
      <c r="J140" s="101">
        <v>305.61147621136251</v>
      </c>
      <c r="K140" s="101">
        <v>119603.41851743197</v>
      </c>
      <c r="L140" s="17"/>
    </row>
    <row r="141" spans="1:12" x14ac:dyDescent="0.35">
      <c r="A141" s="24">
        <v>129</v>
      </c>
      <c r="B141" s="103">
        <f t="shared" si="10"/>
        <v>805.23243451820974</v>
      </c>
      <c r="C141" s="103">
        <f t="shared" si="11"/>
        <v>498.34757715596658</v>
      </c>
      <c r="D141" s="103">
        <f t="shared" si="12"/>
        <v>306.88485736224317</v>
      </c>
      <c r="E141" s="103">
        <f t="shared" si="13"/>
        <v>119296.53366006973</v>
      </c>
      <c r="F141" s="6"/>
      <c r="G141" s="2">
        <v>129</v>
      </c>
      <c r="H141" s="101">
        <v>805.23243451820974</v>
      </c>
      <c r="I141" s="101">
        <v>498.34757715596658</v>
      </c>
      <c r="J141" s="101">
        <v>306.88485736224317</v>
      </c>
      <c r="K141" s="101">
        <v>119296.53366006973</v>
      </c>
      <c r="L141" s="17"/>
    </row>
    <row r="142" spans="1:12" x14ac:dyDescent="0.35">
      <c r="A142" s="24">
        <v>130</v>
      </c>
      <c r="B142" s="103">
        <f t="shared" ref="B142:B205" si="14">$B$8</f>
        <v>805.23243451820974</v>
      </c>
      <c r="C142" s="103">
        <f t="shared" si="11"/>
        <v>497.06889025029062</v>
      </c>
      <c r="D142" s="103">
        <f t="shared" si="12"/>
        <v>308.16354426791912</v>
      </c>
      <c r="E142" s="103">
        <f t="shared" si="13"/>
        <v>118988.37011580181</v>
      </c>
      <c r="F142" s="6"/>
      <c r="G142" s="2">
        <v>130</v>
      </c>
      <c r="H142" s="101">
        <v>805.23243451820974</v>
      </c>
      <c r="I142" s="101">
        <v>497.06889025029056</v>
      </c>
      <c r="J142" s="101">
        <v>308.16354426791918</v>
      </c>
      <c r="K142" s="101">
        <v>118988.37011580181</v>
      </c>
      <c r="L142" s="17"/>
    </row>
    <row r="143" spans="1:12" x14ac:dyDescent="0.35">
      <c r="A143" s="24">
        <v>131</v>
      </c>
      <c r="B143" s="103">
        <f t="shared" si="14"/>
        <v>805.23243451820974</v>
      </c>
      <c r="C143" s="103">
        <f t="shared" si="11"/>
        <v>495.78487548250752</v>
      </c>
      <c r="D143" s="103">
        <f t="shared" si="12"/>
        <v>309.44755903570223</v>
      </c>
      <c r="E143" s="103">
        <f t="shared" si="13"/>
        <v>118678.92255676611</v>
      </c>
      <c r="F143" s="6"/>
      <c r="G143" s="2">
        <v>131</v>
      </c>
      <c r="H143" s="101">
        <v>805.23243451820974</v>
      </c>
      <c r="I143" s="101">
        <v>495.78487548250757</v>
      </c>
      <c r="J143" s="101">
        <v>309.44755903570217</v>
      </c>
      <c r="K143" s="101">
        <v>118678.92255676611</v>
      </c>
      <c r="L143" s="17"/>
    </row>
    <row r="144" spans="1:12" x14ac:dyDescent="0.35">
      <c r="A144" s="24">
        <v>132</v>
      </c>
      <c r="B144" s="103">
        <f t="shared" si="14"/>
        <v>805.23243451820974</v>
      </c>
      <c r="C144" s="103">
        <f t="shared" si="11"/>
        <v>494.49551065319218</v>
      </c>
      <c r="D144" s="103">
        <f t="shared" si="12"/>
        <v>310.73692386501756</v>
      </c>
      <c r="E144" s="103">
        <f t="shared" si="13"/>
        <v>118368.18563290109</v>
      </c>
      <c r="F144" s="6"/>
      <c r="G144" s="2">
        <v>132</v>
      </c>
      <c r="H144" s="101">
        <v>805.23243451820974</v>
      </c>
      <c r="I144" s="101">
        <v>494.49551065319213</v>
      </c>
      <c r="J144" s="101">
        <v>310.73692386501762</v>
      </c>
      <c r="K144" s="101">
        <v>118368.18563290109</v>
      </c>
      <c r="L144" s="17"/>
    </row>
    <row r="145" spans="1:12" x14ac:dyDescent="0.35">
      <c r="A145" s="24">
        <v>133</v>
      </c>
      <c r="B145" s="103">
        <f t="shared" si="14"/>
        <v>805.23243451820974</v>
      </c>
      <c r="C145" s="103">
        <f t="shared" si="11"/>
        <v>493.20077347042121</v>
      </c>
      <c r="D145" s="103">
        <f t="shared" si="12"/>
        <v>312.03166104778853</v>
      </c>
      <c r="E145" s="103">
        <f t="shared" si="13"/>
        <v>118056.1539718533</v>
      </c>
      <c r="F145" s="6"/>
      <c r="G145" s="2">
        <v>133</v>
      </c>
      <c r="H145" s="101">
        <v>805.23243451820974</v>
      </c>
      <c r="I145" s="101">
        <v>493.20077347042127</v>
      </c>
      <c r="J145" s="101">
        <v>312.03166104778848</v>
      </c>
      <c r="K145" s="101">
        <v>118056.1539718533</v>
      </c>
      <c r="L145" s="17"/>
    </row>
    <row r="146" spans="1:12" x14ac:dyDescent="0.35">
      <c r="A146" s="24">
        <v>134</v>
      </c>
      <c r="B146" s="103">
        <f t="shared" si="14"/>
        <v>805.23243451820974</v>
      </c>
      <c r="C146" s="103">
        <f t="shared" si="11"/>
        <v>491.90064154938881</v>
      </c>
      <c r="D146" s="103">
        <f t="shared" si="12"/>
        <v>313.33179296882093</v>
      </c>
      <c r="E146" s="103">
        <f t="shared" si="13"/>
        <v>117742.82217888448</v>
      </c>
      <c r="F146" s="6"/>
      <c r="G146" s="2">
        <v>134</v>
      </c>
      <c r="H146" s="101">
        <v>805.23243451820974</v>
      </c>
      <c r="I146" s="101">
        <v>491.90064154938881</v>
      </c>
      <c r="J146" s="101">
        <v>313.33179296882093</v>
      </c>
      <c r="K146" s="101">
        <v>117742.82217888448</v>
      </c>
      <c r="L146" s="17"/>
    </row>
    <row r="147" spans="1:12" x14ac:dyDescent="0.35">
      <c r="A147" s="24">
        <v>135</v>
      </c>
      <c r="B147" s="103">
        <f t="shared" si="14"/>
        <v>805.23243451820974</v>
      </c>
      <c r="C147" s="103">
        <f t="shared" si="11"/>
        <v>490.59509241201869</v>
      </c>
      <c r="D147" s="103">
        <f t="shared" si="12"/>
        <v>314.63734210619106</v>
      </c>
      <c r="E147" s="103">
        <f t="shared" si="13"/>
        <v>117428.18483677829</v>
      </c>
      <c r="F147" s="6"/>
      <c r="G147" s="2">
        <v>135</v>
      </c>
      <c r="H147" s="101">
        <v>805.23243451820974</v>
      </c>
      <c r="I147" s="101">
        <v>490.59509241201869</v>
      </c>
      <c r="J147" s="101">
        <v>314.63734210619106</v>
      </c>
      <c r="K147" s="101">
        <v>117428.18483677829</v>
      </c>
      <c r="L147" s="17"/>
    </row>
    <row r="148" spans="1:12" x14ac:dyDescent="0.35">
      <c r="A148" s="24">
        <v>136</v>
      </c>
      <c r="B148" s="103">
        <f t="shared" si="14"/>
        <v>805.23243451820974</v>
      </c>
      <c r="C148" s="103">
        <f t="shared" si="11"/>
        <v>489.28410348657627</v>
      </c>
      <c r="D148" s="103">
        <f t="shared" si="12"/>
        <v>315.94833103163347</v>
      </c>
      <c r="E148" s="103">
        <f t="shared" si="13"/>
        <v>117112.23650574667</v>
      </c>
      <c r="F148" s="6"/>
      <c r="G148" s="2">
        <v>136</v>
      </c>
      <c r="H148" s="101">
        <v>805.23243451820974</v>
      </c>
      <c r="I148" s="101">
        <v>489.28410348657627</v>
      </c>
      <c r="J148" s="101">
        <v>315.94833103163347</v>
      </c>
      <c r="K148" s="101">
        <v>117112.23650574667</v>
      </c>
      <c r="L148" s="17"/>
    </row>
    <row r="149" spans="1:12" x14ac:dyDescent="0.35">
      <c r="A149" s="24">
        <v>137</v>
      </c>
      <c r="B149" s="103">
        <f t="shared" si="14"/>
        <v>805.23243451820974</v>
      </c>
      <c r="C149" s="103">
        <f t="shared" si="11"/>
        <v>487.96765210727784</v>
      </c>
      <c r="D149" s="103">
        <f t="shared" si="12"/>
        <v>317.2647824109319</v>
      </c>
      <c r="E149" s="103">
        <f t="shared" si="13"/>
        <v>116794.97172333574</v>
      </c>
      <c r="F149" s="6"/>
      <c r="G149" s="2">
        <v>137</v>
      </c>
      <c r="H149" s="101">
        <v>805.23243451820974</v>
      </c>
      <c r="I149" s="101">
        <v>487.96765210727779</v>
      </c>
      <c r="J149" s="101">
        <v>317.26478241093196</v>
      </c>
      <c r="K149" s="101">
        <v>116794.97172333574</v>
      </c>
      <c r="L149" s="17"/>
    </row>
    <row r="150" spans="1:12" x14ac:dyDescent="0.35">
      <c r="A150" s="24">
        <v>138</v>
      </c>
      <c r="B150" s="103">
        <f t="shared" si="14"/>
        <v>805.23243451820974</v>
      </c>
      <c r="C150" s="103">
        <f t="shared" si="11"/>
        <v>486.64571551389895</v>
      </c>
      <c r="D150" s="103">
        <f t="shared" si="12"/>
        <v>318.58671900431079</v>
      </c>
      <c r="E150" s="103">
        <f t="shared" si="13"/>
        <v>116476.38500433143</v>
      </c>
      <c r="F150" s="6"/>
      <c r="G150" s="2">
        <v>138</v>
      </c>
      <c r="H150" s="101">
        <v>805.23243451820974</v>
      </c>
      <c r="I150" s="101">
        <v>486.64571551389895</v>
      </c>
      <c r="J150" s="101">
        <v>318.58671900431079</v>
      </c>
      <c r="K150" s="101">
        <v>116476.38500433143</v>
      </c>
      <c r="L150" s="17"/>
    </row>
    <row r="151" spans="1:12" x14ac:dyDescent="0.35">
      <c r="A151" s="24">
        <v>139</v>
      </c>
      <c r="B151" s="103">
        <f t="shared" si="14"/>
        <v>805.23243451820974</v>
      </c>
      <c r="C151" s="103">
        <f t="shared" si="11"/>
        <v>485.31827085138099</v>
      </c>
      <c r="D151" s="103">
        <f t="shared" si="12"/>
        <v>319.91416366682876</v>
      </c>
      <c r="E151" s="103">
        <f t="shared" si="13"/>
        <v>116156.4708406646</v>
      </c>
      <c r="F151" s="6"/>
      <c r="G151" s="2">
        <v>139</v>
      </c>
      <c r="H151" s="101">
        <v>805.23243451820974</v>
      </c>
      <c r="I151" s="101">
        <v>485.31827085138099</v>
      </c>
      <c r="J151" s="101">
        <v>319.91416366682876</v>
      </c>
      <c r="K151" s="101">
        <v>116156.4708406646</v>
      </c>
      <c r="L151" s="17"/>
    </row>
    <row r="152" spans="1:12" x14ac:dyDescent="0.35">
      <c r="A152" s="24">
        <v>140</v>
      </c>
      <c r="B152" s="103">
        <f t="shared" si="14"/>
        <v>805.23243451820974</v>
      </c>
      <c r="C152" s="103">
        <f t="shared" si="11"/>
        <v>483.98529516943586</v>
      </c>
      <c r="D152" s="103">
        <f t="shared" si="12"/>
        <v>321.24713934877389</v>
      </c>
      <c r="E152" s="103">
        <f t="shared" si="13"/>
        <v>115835.22370131582</v>
      </c>
      <c r="F152" s="6"/>
      <c r="G152" s="2">
        <v>140</v>
      </c>
      <c r="H152" s="101">
        <v>805.23243451820974</v>
      </c>
      <c r="I152" s="101">
        <v>483.98529516943586</v>
      </c>
      <c r="J152" s="101">
        <v>321.24713934877389</v>
      </c>
      <c r="K152" s="101">
        <v>115835.22370131582</v>
      </c>
      <c r="L152" s="17"/>
    </row>
    <row r="153" spans="1:12" x14ac:dyDescent="0.35">
      <c r="A153" s="24">
        <v>141</v>
      </c>
      <c r="B153" s="103">
        <f t="shared" si="14"/>
        <v>805.23243451820974</v>
      </c>
      <c r="C153" s="103">
        <f t="shared" si="11"/>
        <v>482.64676542214926</v>
      </c>
      <c r="D153" s="103">
        <f t="shared" si="12"/>
        <v>322.58566909606049</v>
      </c>
      <c r="E153" s="103">
        <f t="shared" si="13"/>
        <v>115512.63803221975</v>
      </c>
      <c r="F153" s="6"/>
      <c r="G153" s="2">
        <v>141</v>
      </c>
      <c r="H153" s="101">
        <v>805.23243451820974</v>
      </c>
      <c r="I153" s="101">
        <v>482.64676542214926</v>
      </c>
      <c r="J153" s="101">
        <v>322.58566909606049</v>
      </c>
      <c r="K153" s="101">
        <v>115512.63803221975</v>
      </c>
      <c r="L153" s="17"/>
    </row>
    <row r="154" spans="1:12" x14ac:dyDescent="0.35">
      <c r="A154" s="24">
        <v>142</v>
      </c>
      <c r="B154" s="103">
        <f t="shared" si="14"/>
        <v>805.23243451820974</v>
      </c>
      <c r="C154" s="103">
        <f t="shared" ref="C154:C217" si="15">E153*$B$5/$B$7</f>
        <v>481.30265846758238</v>
      </c>
      <c r="D154" s="103">
        <f t="shared" ref="D154:D217" si="16">B154-C154</f>
        <v>323.92977605062737</v>
      </c>
      <c r="E154" s="103">
        <f t="shared" ref="E154:E217" si="17">E153-D154</f>
        <v>115188.70825616912</v>
      </c>
      <c r="F154" s="6"/>
      <c r="G154" s="2">
        <v>142</v>
      </c>
      <c r="H154" s="101">
        <v>805.23243451820974</v>
      </c>
      <c r="I154" s="101">
        <v>481.30265846758232</v>
      </c>
      <c r="J154" s="101">
        <v>323.92977605062742</v>
      </c>
      <c r="K154" s="101">
        <v>115188.70825616912</v>
      </c>
      <c r="L154" s="17"/>
    </row>
    <row r="155" spans="1:12" x14ac:dyDescent="0.35">
      <c r="A155" s="24">
        <v>143</v>
      </c>
      <c r="B155" s="103">
        <f t="shared" si="14"/>
        <v>805.23243451820974</v>
      </c>
      <c r="C155" s="103">
        <f t="shared" si="15"/>
        <v>479.95295106737132</v>
      </c>
      <c r="D155" s="103">
        <f t="shared" si="16"/>
        <v>325.27948345083843</v>
      </c>
      <c r="E155" s="103">
        <f t="shared" si="17"/>
        <v>114863.42877271828</v>
      </c>
      <c r="F155" s="6"/>
      <c r="G155" s="2">
        <v>143</v>
      </c>
      <c r="H155" s="101">
        <v>805.23243451820974</v>
      </c>
      <c r="I155" s="101">
        <v>479.95295106737137</v>
      </c>
      <c r="J155" s="101">
        <v>325.27948345083837</v>
      </c>
      <c r="K155" s="101">
        <v>114863.42877271828</v>
      </c>
      <c r="L155" s="17"/>
    </row>
    <row r="156" spans="1:12" x14ac:dyDescent="0.35">
      <c r="A156" s="24">
        <v>144</v>
      </c>
      <c r="B156" s="103">
        <f t="shared" si="14"/>
        <v>805.23243451820974</v>
      </c>
      <c r="C156" s="103">
        <f t="shared" si="15"/>
        <v>478.59761988632619</v>
      </c>
      <c r="D156" s="103">
        <f t="shared" si="16"/>
        <v>326.63481463188356</v>
      </c>
      <c r="E156" s="103">
        <f t="shared" si="17"/>
        <v>114536.7939580864</v>
      </c>
      <c r="F156" s="6"/>
      <c r="G156" s="2">
        <v>144</v>
      </c>
      <c r="H156" s="101">
        <v>805.23243451820974</v>
      </c>
      <c r="I156" s="101">
        <v>478.59761988632619</v>
      </c>
      <c r="J156" s="101">
        <v>326.63481463188356</v>
      </c>
      <c r="K156" s="101">
        <v>114536.7939580864</v>
      </c>
      <c r="L156" s="17"/>
    </row>
    <row r="157" spans="1:12" x14ac:dyDescent="0.35">
      <c r="A157" s="24">
        <v>145</v>
      </c>
      <c r="B157" s="103">
        <f t="shared" si="14"/>
        <v>805.23243451820974</v>
      </c>
      <c r="C157" s="103">
        <f t="shared" si="15"/>
        <v>477.23664149202676</v>
      </c>
      <c r="D157" s="103">
        <f t="shared" si="16"/>
        <v>327.99579302618298</v>
      </c>
      <c r="E157" s="103">
        <f t="shared" si="17"/>
        <v>114208.79816506022</v>
      </c>
      <c r="F157" s="6"/>
      <c r="G157" s="2">
        <v>145</v>
      </c>
      <c r="H157" s="101">
        <v>805.23243451820974</v>
      </c>
      <c r="I157" s="101">
        <v>477.23664149202671</v>
      </c>
      <c r="J157" s="101">
        <v>327.99579302618304</v>
      </c>
      <c r="K157" s="101">
        <v>114208.79816506022</v>
      </c>
      <c r="L157" s="17"/>
    </row>
    <row r="158" spans="1:12" x14ac:dyDescent="0.35">
      <c r="A158" s="24">
        <v>146</v>
      </c>
      <c r="B158" s="103">
        <f t="shared" si="14"/>
        <v>805.23243451820974</v>
      </c>
      <c r="C158" s="103">
        <f t="shared" si="15"/>
        <v>475.86999235441755</v>
      </c>
      <c r="D158" s="103">
        <f t="shared" si="16"/>
        <v>329.3624421637922</v>
      </c>
      <c r="E158" s="103">
        <f t="shared" si="17"/>
        <v>113879.43572289642</v>
      </c>
      <c r="F158" s="6"/>
      <c r="G158" s="2">
        <v>146</v>
      </c>
      <c r="H158" s="101">
        <v>805.23243451820974</v>
      </c>
      <c r="I158" s="101">
        <v>475.8699923544176</v>
      </c>
      <c r="J158" s="101">
        <v>329.36244216379214</v>
      </c>
      <c r="K158" s="101">
        <v>113879.43572289642</v>
      </c>
      <c r="L158" s="17"/>
    </row>
    <row r="159" spans="1:12" x14ac:dyDescent="0.35">
      <c r="A159" s="24">
        <v>147</v>
      </c>
      <c r="B159" s="103">
        <f t="shared" si="14"/>
        <v>805.23243451820974</v>
      </c>
      <c r="C159" s="103">
        <f t="shared" si="15"/>
        <v>474.49764884540178</v>
      </c>
      <c r="D159" s="103">
        <f t="shared" si="16"/>
        <v>330.73478567280796</v>
      </c>
      <c r="E159" s="103">
        <f t="shared" si="17"/>
        <v>113548.70093722362</v>
      </c>
      <c r="F159" s="6"/>
      <c r="G159" s="2">
        <v>147</v>
      </c>
      <c r="H159" s="101">
        <v>805.23243451820974</v>
      </c>
      <c r="I159" s="101">
        <v>474.49764884540178</v>
      </c>
      <c r="J159" s="101">
        <v>330.73478567280796</v>
      </c>
      <c r="K159" s="101">
        <v>113548.70093722362</v>
      </c>
      <c r="L159" s="17"/>
    </row>
    <row r="160" spans="1:12" x14ac:dyDescent="0.35">
      <c r="A160" s="24">
        <v>148</v>
      </c>
      <c r="B160" s="103">
        <f t="shared" si="14"/>
        <v>805.23243451820974</v>
      </c>
      <c r="C160" s="103">
        <f t="shared" si="15"/>
        <v>473.11958723843173</v>
      </c>
      <c r="D160" s="103">
        <f t="shared" si="16"/>
        <v>332.11284727977801</v>
      </c>
      <c r="E160" s="103">
        <f t="shared" si="17"/>
        <v>113216.58808994385</v>
      </c>
      <c r="F160" s="6"/>
      <c r="G160" s="2">
        <v>148</v>
      </c>
      <c r="H160" s="101">
        <v>805.23243451820974</v>
      </c>
      <c r="I160" s="101">
        <v>473.11958723843179</v>
      </c>
      <c r="J160" s="101">
        <v>332.11284727977795</v>
      </c>
      <c r="K160" s="101">
        <v>113216.58808994385</v>
      </c>
      <c r="L160" s="17"/>
    </row>
    <row r="161" spans="1:12" x14ac:dyDescent="0.35">
      <c r="A161" s="24">
        <v>149</v>
      </c>
      <c r="B161" s="103">
        <f t="shared" si="14"/>
        <v>805.23243451820974</v>
      </c>
      <c r="C161" s="103">
        <f t="shared" si="15"/>
        <v>471.7357837080994</v>
      </c>
      <c r="D161" s="103">
        <f t="shared" si="16"/>
        <v>333.49665081011034</v>
      </c>
      <c r="E161" s="103">
        <f t="shared" si="17"/>
        <v>112883.09143913374</v>
      </c>
      <c r="F161" s="6"/>
      <c r="G161" s="2">
        <v>149</v>
      </c>
      <c r="H161" s="101">
        <v>805.23243451820974</v>
      </c>
      <c r="I161" s="101">
        <v>471.7357837080994</v>
      </c>
      <c r="J161" s="101">
        <v>333.49665081011034</v>
      </c>
      <c r="K161" s="101">
        <v>112883.09143913374</v>
      </c>
      <c r="L161" s="17"/>
    </row>
    <row r="162" spans="1:12" x14ac:dyDescent="0.35">
      <c r="A162" s="24">
        <v>150</v>
      </c>
      <c r="B162" s="103">
        <f t="shared" si="14"/>
        <v>805.23243451820974</v>
      </c>
      <c r="C162" s="103">
        <f t="shared" si="15"/>
        <v>470.34621432972398</v>
      </c>
      <c r="D162" s="103">
        <f t="shared" si="16"/>
        <v>334.88622018848577</v>
      </c>
      <c r="E162" s="103">
        <f t="shared" si="17"/>
        <v>112548.20521894525</v>
      </c>
      <c r="F162" s="6"/>
      <c r="G162" s="2">
        <v>150</v>
      </c>
      <c r="H162" s="101">
        <v>805.23243451820974</v>
      </c>
      <c r="I162" s="101">
        <v>470.34621432972398</v>
      </c>
      <c r="J162" s="101">
        <v>334.88622018848577</v>
      </c>
      <c r="K162" s="101">
        <v>112548.20521894525</v>
      </c>
      <c r="L162" s="17"/>
    </row>
    <row r="163" spans="1:12" x14ac:dyDescent="0.35">
      <c r="A163" s="24">
        <v>151</v>
      </c>
      <c r="B163" s="103">
        <f t="shared" si="14"/>
        <v>805.23243451820974</v>
      </c>
      <c r="C163" s="103">
        <f t="shared" si="15"/>
        <v>468.95085507893856</v>
      </c>
      <c r="D163" s="103">
        <f t="shared" si="16"/>
        <v>336.28157943927118</v>
      </c>
      <c r="E163" s="103">
        <f t="shared" si="17"/>
        <v>112211.92363950599</v>
      </c>
      <c r="F163" s="6"/>
      <c r="G163" s="2">
        <v>151</v>
      </c>
      <c r="H163" s="101">
        <v>805.23243451820974</v>
      </c>
      <c r="I163" s="101">
        <v>468.95085507893856</v>
      </c>
      <c r="J163" s="101">
        <v>336.28157943927118</v>
      </c>
      <c r="K163" s="101">
        <v>112211.92363950599</v>
      </c>
      <c r="L163" s="17"/>
    </row>
    <row r="164" spans="1:12" x14ac:dyDescent="0.35">
      <c r="A164" s="24">
        <v>152</v>
      </c>
      <c r="B164" s="103">
        <f t="shared" si="14"/>
        <v>805.23243451820974</v>
      </c>
      <c r="C164" s="103">
        <f t="shared" si="15"/>
        <v>467.54968183127494</v>
      </c>
      <c r="D164" s="103">
        <f t="shared" si="16"/>
        <v>337.6827526869348</v>
      </c>
      <c r="E164" s="103">
        <f t="shared" si="17"/>
        <v>111874.24088681905</v>
      </c>
      <c r="F164" s="6"/>
      <c r="G164" s="2">
        <v>152</v>
      </c>
      <c r="H164" s="101">
        <v>805.23243451820974</v>
      </c>
      <c r="I164" s="101">
        <v>467.54968183127494</v>
      </c>
      <c r="J164" s="101">
        <v>337.6827526869348</v>
      </c>
      <c r="K164" s="101">
        <v>111874.24088681905</v>
      </c>
      <c r="L164" s="17"/>
    </row>
    <row r="165" spans="1:12" x14ac:dyDescent="0.35">
      <c r="A165" s="24">
        <v>153</v>
      </c>
      <c r="B165" s="103">
        <f t="shared" si="14"/>
        <v>805.23243451820974</v>
      </c>
      <c r="C165" s="103">
        <f t="shared" si="15"/>
        <v>466.14267036174607</v>
      </c>
      <c r="D165" s="103">
        <f t="shared" si="16"/>
        <v>339.08976415646367</v>
      </c>
      <c r="E165" s="103">
        <f t="shared" si="17"/>
        <v>111535.15112266259</v>
      </c>
      <c r="F165" s="6"/>
      <c r="G165" s="2">
        <v>153</v>
      </c>
      <c r="H165" s="101">
        <v>805.23243451820974</v>
      </c>
      <c r="I165" s="101">
        <v>466.14267036174607</v>
      </c>
      <c r="J165" s="101">
        <v>339.08976415646367</v>
      </c>
      <c r="K165" s="101">
        <v>111535.15112266259</v>
      </c>
      <c r="L165" s="17"/>
    </row>
    <row r="166" spans="1:12" x14ac:dyDescent="0.35">
      <c r="A166" s="24">
        <v>154</v>
      </c>
      <c r="B166" s="103">
        <f t="shared" si="14"/>
        <v>805.23243451820974</v>
      </c>
      <c r="C166" s="103">
        <f t="shared" si="15"/>
        <v>464.72979634442748</v>
      </c>
      <c r="D166" s="103">
        <f t="shared" si="16"/>
        <v>340.50263817378226</v>
      </c>
      <c r="E166" s="103">
        <f t="shared" si="17"/>
        <v>111194.6484844888</v>
      </c>
      <c r="F166" s="6"/>
      <c r="G166" s="2">
        <v>154</v>
      </c>
      <c r="H166" s="101">
        <v>805.23243451820974</v>
      </c>
      <c r="I166" s="101">
        <v>464.72979634442748</v>
      </c>
      <c r="J166" s="101">
        <v>340.50263817378226</v>
      </c>
      <c r="K166" s="101">
        <v>111194.6484844888</v>
      </c>
      <c r="L166" s="17"/>
    </row>
    <row r="167" spans="1:12" x14ac:dyDescent="0.35">
      <c r="A167" s="24">
        <v>155</v>
      </c>
      <c r="B167" s="103">
        <f t="shared" si="14"/>
        <v>805.23243451820974</v>
      </c>
      <c r="C167" s="103">
        <f t="shared" si="15"/>
        <v>463.3110353520367</v>
      </c>
      <c r="D167" s="103">
        <f t="shared" si="16"/>
        <v>341.92139916617305</v>
      </c>
      <c r="E167" s="103">
        <f t="shared" si="17"/>
        <v>110852.72708532264</v>
      </c>
      <c r="F167" s="6"/>
      <c r="G167" s="2">
        <v>155</v>
      </c>
      <c r="H167" s="101">
        <v>805.23243451820974</v>
      </c>
      <c r="I167" s="101">
        <v>463.3110353520367</v>
      </c>
      <c r="J167" s="101">
        <v>341.92139916617305</v>
      </c>
      <c r="K167" s="101">
        <v>110852.72708532264</v>
      </c>
      <c r="L167" s="17"/>
    </row>
    <row r="168" spans="1:12" x14ac:dyDescent="0.35">
      <c r="A168" s="24">
        <v>156</v>
      </c>
      <c r="B168" s="103">
        <f t="shared" si="14"/>
        <v>805.23243451820974</v>
      </c>
      <c r="C168" s="103">
        <f t="shared" si="15"/>
        <v>461.88636285551098</v>
      </c>
      <c r="D168" s="103">
        <f t="shared" si="16"/>
        <v>343.34607166269876</v>
      </c>
      <c r="E168" s="103">
        <f t="shared" si="17"/>
        <v>110509.38101365993</v>
      </c>
      <c r="F168" s="6"/>
      <c r="G168" s="2">
        <v>156</v>
      </c>
      <c r="H168" s="101">
        <v>805.23243451820974</v>
      </c>
      <c r="I168" s="101">
        <v>461.88636285551104</v>
      </c>
      <c r="J168" s="101">
        <v>343.34607166269871</v>
      </c>
      <c r="K168" s="101">
        <v>110509.38101365993</v>
      </c>
      <c r="L168" s="17"/>
    </row>
    <row r="169" spans="1:12" x14ac:dyDescent="0.35">
      <c r="A169" s="24">
        <v>157</v>
      </c>
      <c r="B169" s="103">
        <f t="shared" si="14"/>
        <v>805.23243451820974</v>
      </c>
      <c r="C169" s="103">
        <f t="shared" si="15"/>
        <v>460.45575422358314</v>
      </c>
      <c r="D169" s="103">
        <f t="shared" si="16"/>
        <v>344.7766802946266</v>
      </c>
      <c r="E169" s="103">
        <f t="shared" si="17"/>
        <v>110164.60433336531</v>
      </c>
      <c r="F169" s="6"/>
      <c r="G169" s="2">
        <v>157</v>
      </c>
      <c r="H169" s="101">
        <v>805.23243451820974</v>
      </c>
      <c r="I169" s="101">
        <v>460.45575422358309</v>
      </c>
      <c r="J169" s="101">
        <v>344.77668029462666</v>
      </c>
      <c r="K169" s="101">
        <v>110164.60433336531</v>
      </c>
      <c r="L169" s="17"/>
    </row>
    <row r="170" spans="1:12" x14ac:dyDescent="0.35">
      <c r="A170" s="24">
        <v>158</v>
      </c>
      <c r="B170" s="103">
        <f t="shared" si="14"/>
        <v>805.23243451820974</v>
      </c>
      <c r="C170" s="103">
        <f t="shared" si="15"/>
        <v>459.01918472235548</v>
      </c>
      <c r="D170" s="103">
        <f t="shared" si="16"/>
        <v>346.21324979585427</v>
      </c>
      <c r="E170" s="103">
        <f t="shared" si="17"/>
        <v>109818.39108356946</v>
      </c>
      <c r="F170" s="6"/>
      <c r="G170" s="2">
        <v>158</v>
      </c>
      <c r="H170" s="101">
        <v>805.23243451820974</v>
      </c>
      <c r="I170" s="101">
        <v>459.01918472235548</v>
      </c>
      <c r="J170" s="101">
        <v>346.21324979585427</v>
      </c>
      <c r="K170" s="101">
        <v>109818.39108356946</v>
      </c>
      <c r="L170" s="17"/>
    </row>
    <row r="171" spans="1:12" x14ac:dyDescent="0.35">
      <c r="A171" s="24">
        <v>159</v>
      </c>
      <c r="B171" s="103">
        <f t="shared" si="14"/>
        <v>805.23243451820974</v>
      </c>
      <c r="C171" s="103">
        <f t="shared" si="15"/>
        <v>457.57662951487276</v>
      </c>
      <c r="D171" s="103">
        <f t="shared" si="16"/>
        <v>347.65580500333698</v>
      </c>
      <c r="E171" s="103">
        <f t="shared" si="17"/>
        <v>109470.73527856612</v>
      </c>
      <c r="F171" s="6"/>
      <c r="G171" s="2">
        <v>159</v>
      </c>
      <c r="H171" s="101">
        <v>805.23243451820974</v>
      </c>
      <c r="I171" s="101">
        <v>457.57662951487276</v>
      </c>
      <c r="J171" s="101">
        <v>347.65580500333698</v>
      </c>
      <c r="K171" s="101">
        <v>109470.73527856612</v>
      </c>
      <c r="L171" s="17"/>
    </row>
    <row r="172" spans="1:12" x14ac:dyDescent="0.35">
      <c r="A172" s="24">
        <v>160</v>
      </c>
      <c r="B172" s="103">
        <f t="shared" si="14"/>
        <v>805.23243451820974</v>
      </c>
      <c r="C172" s="103">
        <f t="shared" si="15"/>
        <v>456.12806366069225</v>
      </c>
      <c r="D172" s="103">
        <f t="shared" si="16"/>
        <v>349.10437085751749</v>
      </c>
      <c r="E172" s="103">
        <f t="shared" si="17"/>
        <v>109121.6309077086</v>
      </c>
      <c r="F172" s="6"/>
      <c r="G172" s="2">
        <v>160</v>
      </c>
      <c r="H172" s="101">
        <v>805.23243451820974</v>
      </c>
      <c r="I172" s="101">
        <v>456.12806366069219</v>
      </c>
      <c r="J172" s="101">
        <v>349.10437085751755</v>
      </c>
      <c r="K172" s="101">
        <v>109121.6309077086</v>
      </c>
      <c r="L172" s="17"/>
    </row>
    <row r="173" spans="1:12" x14ac:dyDescent="0.35">
      <c r="A173" s="24">
        <v>161</v>
      </c>
      <c r="B173" s="103">
        <f t="shared" si="14"/>
        <v>805.23243451820974</v>
      </c>
      <c r="C173" s="103">
        <f t="shared" si="15"/>
        <v>454.67346211545254</v>
      </c>
      <c r="D173" s="103">
        <f t="shared" si="16"/>
        <v>350.55897240275721</v>
      </c>
      <c r="E173" s="103">
        <f t="shared" si="17"/>
        <v>108771.07193530585</v>
      </c>
      <c r="F173" s="6"/>
      <c r="G173" s="2">
        <v>161</v>
      </c>
      <c r="H173" s="101">
        <v>805.23243451820974</v>
      </c>
      <c r="I173" s="101">
        <v>454.67346211545254</v>
      </c>
      <c r="J173" s="101">
        <v>350.55897240275721</v>
      </c>
      <c r="K173" s="101">
        <v>108771.07193530585</v>
      </c>
      <c r="L173" s="17"/>
    </row>
    <row r="174" spans="1:12" x14ac:dyDescent="0.35">
      <c r="A174" s="24">
        <v>162</v>
      </c>
      <c r="B174" s="103">
        <f t="shared" si="14"/>
        <v>805.23243451820974</v>
      </c>
      <c r="C174" s="103">
        <f t="shared" si="15"/>
        <v>453.21279973044108</v>
      </c>
      <c r="D174" s="103">
        <f t="shared" si="16"/>
        <v>352.01963478776867</v>
      </c>
      <c r="E174" s="103">
        <f t="shared" si="17"/>
        <v>108419.05230051809</v>
      </c>
      <c r="F174" s="6"/>
      <c r="G174" s="2">
        <v>162</v>
      </c>
      <c r="H174" s="101">
        <v>805.23243451820974</v>
      </c>
      <c r="I174" s="101">
        <v>453.21279973044108</v>
      </c>
      <c r="J174" s="101">
        <v>352.01963478776867</v>
      </c>
      <c r="K174" s="101">
        <v>108419.05230051809</v>
      </c>
      <c r="L174" s="17"/>
    </row>
    <row r="175" spans="1:12" x14ac:dyDescent="0.35">
      <c r="A175" s="24">
        <v>163</v>
      </c>
      <c r="B175" s="103">
        <f t="shared" si="14"/>
        <v>805.23243451820974</v>
      </c>
      <c r="C175" s="103">
        <f t="shared" si="15"/>
        <v>451.74605125215868</v>
      </c>
      <c r="D175" s="103">
        <f t="shared" si="16"/>
        <v>353.48638326605106</v>
      </c>
      <c r="E175" s="103">
        <f t="shared" si="17"/>
        <v>108065.56591725204</v>
      </c>
      <c r="F175" s="6"/>
      <c r="G175" s="2">
        <v>163</v>
      </c>
      <c r="H175" s="101">
        <v>805.23243451820974</v>
      </c>
      <c r="I175" s="101">
        <v>451.74605125215874</v>
      </c>
      <c r="J175" s="101">
        <v>353.48638326605101</v>
      </c>
      <c r="K175" s="101">
        <v>108065.56591725204</v>
      </c>
      <c r="L175" s="17"/>
    </row>
    <row r="176" spans="1:12" x14ac:dyDescent="0.35">
      <c r="A176" s="24">
        <v>164</v>
      </c>
      <c r="B176" s="103">
        <f t="shared" si="14"/>
        <v>805.23243451820974</v>
      </c>
      <c r="C176" s="103">
        <f t="shared" si="15"/>
        <v>450.27319132188353</v>
      </c>
      <c r="D176" s="103">
        <f t="shared" si="16"/>
        <v>354.95924319632621</v>
      </c>
      <c r="E176" s="103">
        <f t="shared" si="17"/>
        <v>107710.60667405571</v>
      </c>
      <c r="F176" s="6"/>
      <c r="G176" s="2">
        <v>164</v>
      </c>
      <c r="H176" s="101">
        <v>805.23243451820974</v>
      </c>
      <c r="I176" s="101">
        <v>450.27319132188353</v>
      </c>
      <c r="J176" s="101">
        <v>354.95924319632621</v>
      </c>
      <c r="K176" s="101">
        <v>107710.60667405571</v>
      </c>
      <c r="L176" s="17"/>
    </row>
    <row r="177" spans="1:12" x14ac:dyDescent="0.35">
      <c r="A177" s="24">
        <v>165</v>
      </c>
      <c r="B177" s="103">
        <f t="shared" si="14"/>
        <v>805.23243451820974</v>
      </c>
      <c r="C177" s="103">
        <f t="shared" si="15"/>
        <v>448.79419447523219</v>
      </c>
      <c r="D177" s="103">
        <f t="shared" si="16"/>
        <v>356.43824004297755</v>
      </c>
      <c r="E177" s="103">
        <f t="shared" si="17"/>
        <v>107354.16843401274</v>
      </c>
      <c r="F177" s="6"/>
      <c r="G177" s="2">
        <v>165</v>
      </c>
      <c r="H177" s="101">
        <v>805.23243451820974</v>
      </c>
      <c r="I177" s="101">
        <v>448.79419447523219</v>
      </c>
      <c r="J177" s="101">
        <v>356.43824004297755</v>
      </c>
      <c r="K177" s="101">
        <v>107354.16843401274</v>
      </c>
      <c r="L177" s="17"/>
    </row>
    <row r="178" spans="1:12" x14ac:dyDescent="0.35">
      <c r="A178" s="24">
        <v>166</v>
      </c>
      <c r="B178" s="103">
        <f t="shared" si="14"/>
        <v>805.23243451820974</v>
      </c>
      <c r="C178" s="103">
        <f t="shared" si="15"/>
        <v>447.30903514171979</v>
      </c>
      <c r="D178" s="103">
        <f t="shared" si="16"/>
        <v>357.92339937648995</v>
      </c>
      <c r="E178" s="103">
        <f t="shared" si="17"/>
        <v>106996.24503463625</v>
      </c>
      <c r="F178" s="6"/>
      <c r="G178" s="2">
        <v>166</v>
      </c>
      <c r="H178" s="101">
        <v>805.23243451820974</v>
      </c>
      <c r="I178" s="101">
        <v>447.30903514171979</v>
      </c>
      <c r="J178" s="101">
        <v>357.92339937648995</v>
      </c>
      <c r="K178" s="101">
        <v>106996.24503463625</v>
      </c>
      <c r="L178" s="17"/>
    </row>
    <row r="179" spans="1:12" x14ac:dyDescent="0.35">
      <c r="A179" s="24">
        <v>167</v>
      </c>
      <c r="B179" s="103">
        <f t="shared" si="14"/>
        <v>805.23243451820974</v>
      </c>
      <c r="C179" s="103">
        <f t="shared" si="15"/>
        <v>445.81768764431769</v>
      </c>
      <c r="D179" s="103">
        <f t="shared" si="16"/>
        <v>359.41474687389206</v>
      </c>
      <c r="E179" s="103">
        <f t="shared" si="17"/>
        <v>106636.83028776235</v>
      </c>
      <c r="F179" s="6"/>
      <c r="G179" s="2">
        <v>167</v>
      </c>
      <c r="H179" s="101">
        <v>805.23243451820974</v>
      </c>
      <c r="I179" s="101">
        <v>445.81768764431774</v>
      </c>
      <c r="J179" s="101">
        <v>359.414746873892</v>
      </c>
      <c r="K179" s="101">
        <v>106636.83028776235</v>
      </c>
      <c r="L179" s="17"/>
    </row>
    <row r="180" spans="1:12" x14ac:dyDescent="0.35">
      <c r="A180" s="24">
        <v>168</v>
      </c>
      <c r="B180" s="103">
        <f t="shared" si="14"/>
        <v>805.23243451820974</v>
      </c>
      <c r="C180" s="103">
        <f t="shared" si="15"/>
        <v>444.32012619900979</v>
      </c>
      <c r="D180" s="103">
        <f t="shared" si="16"/>
        <v>360.91230831919995</v>
      </c>
      <c r="E180" s="103">
        <f t="shared" si="17"/>
        <v>106275.91797944315</v>
      </c>
      <c r="F180" s="6"/>
      <c r="G180" s="2">
        <v>168</v>
      </c>
      <c r="H180" s="101">
        <v>805.23243451820974</v>
      </c>
      <c r="I180" s="101">
        <v>444.32012619900979</v>
      </c>
      <c r="J180" s="101">
        <v>360.91230831919995</v>
      </c>
      <c r="K180" s="101">
        <v>106275.91797944315</v>
      </c>
      <c r="L180" s="17"/>
    </row>
    <row r="181" spans="1:12" x14ac:dyDescent="0.35">
      <c r="A181" s="24">
        <v>169</v>
      </c>
      <c r="B181" s="103">
        <f t="shared" si="14"/>
        <v>805.23243451820974</v>
      </c>
      <c r="C181" s="103">
        <f t="shared" si="15"/>
        <v>442.81632491434652</v>
      </c>
      <c r="D181" s="103">
        <f t="shared" si="16"/>
        <v>362.41610960386322</v>
      </c>
      <c r="E181" s="103">
        <f t="shared" si="17"/>
        <v>105913.5018698393</v>
      </c>
      <c r="F181" s="6"/>
      <c r="G181" s="2">
        <v>169</v>
      </c>
      <c r="H181" s="101">
        <v>805.23243451820974</v>
      </c>
      <c r="I181" s="101">
        <v>442.81632491434652</v>
      </c>
      <c r="J181" s="101">
        <v>362.41610960386322</v>
      </c>
      <c r="K181" s="101">
        <v>105913.5018698393</v>
      </c>
      <c r="L181" s="17"/>
    </row>
    <row r="182" spans="1:12" x14ac:dyDescent="0.35">
      <c r="A182" s="24">
        <v>170</v>
      </c>
      <c r="B182" s="103">
        <f t="shared" si="14"/>
        <v>805.23243451820974</v>
      </c>
      <c r="C182" s="103">
        <f t="shared" si="15"/>
        <v>441.30625779099711</v>
      </c>
      <c r="D182" s="103">
        <f t="shared" si="16"/>
        <v>363.92617672721263</v>
      </c>
      <c r="E182" s="103">
        <f t="shared" si="17"/>
        <v>105549.57569311208</v>
      </c>
      <c r="F182" s="6"/>
      <c r="G182" s="2">
        <v>170</v>
      </c>
      <c r="H182" s="101">
        <v>805.23243451820974</v>
      </c>
      <c r="I182" s="101">
        <v>441.30625779099711</v>
      </c>
      <c r="J182" s="101">
        <v>363.92617672721263</v>
      </c>
      <c r="K182" s="101">
        <v>105549.57569311208</v>
      </c>
      <c r="L182" s="17"/>
    </row>
    <row r="183" spans="1:12" x14ac:dyDescent="0.35">
      <c r="A183" s="24">
        <v>171</v>
      </c>
      <c r="B183" s="103">
        <f t="shared" si="14"/>
        <v>805.23243451820974</v>
      </c>
      <c r="C183" s="103">
        <f t="shared" si="15"/>
        <v>439.7898987213004</v>
      </c>
      <c r="D183" s="103">
        <f t="shared" si="16"/>
        <v>365.44253579690934</v>
      </c>
      <c r="E183" s="103">
        <f t="shared" si="17"/>
        <v>105184.13315731517</v>
      </c>
      <c r="F183" s="6"/>
      <c r="G183" s="2">
        <v>171</v>
      </c>
      <c r="H183" s="101">
        <v>805.23243451820974</v>
      </c>
      <c r="I183" s="101">
        <v>439.7898987213004</v>
      </c>
      <c r="J183" s="101">
        <v>365.44253579690934</v>
      </c>
      <c r="K183" s="101">
        <v>105184.13315731517</v>
      </c>
      <c r="L183" s="17"/>
    </row>
    <row r="184" spans="1:12" x14ac:dyDescent="0.35">
      <c r="A184" s="24">
        <v>172</v>
      </c>
      <c r="B184" s="103">
        <f t="shared" si="14"/>
        <v>805.23243451820974</v>
      </c>
      <c r="C184" s="103">
        <f t="shared" si="15"/>
        <v>438.26722148881322</v>
      </c>
      <c r="D184" s="103">
        <f t="shared" si="16"/>
        <v>366.96521302939652</v>
      </c>
      <c r="E184" s="103">
        <f t="shared" si="17"/>
        <v>104817.16794428577</v>
      </c>
      <c r="F184" s="6"/>
      <c r="G184" s="2">
        <v>172</v>
      </c>
      <c r="H184" s="101">
        <v>805.23243451820974</v>
      </c>
      <c r="I184" s="101">
        <v>438.26722148881322</v>
      </c>
      <c r="J184" s="101">
        <v>366.96521302939652</v>
      </c>
      <c r="K184" s="101">
        <v>104817.16794428577</v>
      </c>
      <c r="L184" s="17"/>
    </row>
    <row r="185" spans="1:12" x14ac:dyDescent="0.35">
      <c r="A185" s="24">
        <v>173</v>
      </c>
      <c r="B185" s="103">
        <f t="shared" si="14"/>
        <v>805.23243451820974</v>
      </c>
      <c r="C185" s="103">
        <f t="shared" si="15"/>
        <v>436.7381997678574</v>
      </c>
      <c r="D185" s="103">
        <f t="shared" si="16"/>
        <v>368.49423475035235</v>
      </c>
      <c r="E185" s="103">
        <f t="shared" si="17"/>
        <v>104448.67370953542</v>
      </c>
      <c r="F185" s="6"/>
      <c r="G185" s="2">
        <v>173</v>
      </c>
      <c r="H185" s="101">
        <v>805.23243451820974</v>
      </c>
      <c r="I185" s="101">
        <v>436.7381997678574</v>
      </c>
      <c r="J185" s="101">
        <v>368.49423475035235</v>
      </c>
      <c r="K185" s="101">
        <v>104448.67370953542</v>
      </c>
      <c r="L185" s="17"/>
    </row>
    <row r="186" spans="1:12" x14ac:dyDescent="0.35">
      <c r="A186" s="24">
        <v>174</v>
      </c>
      <c r="B186" s="103">
        <f t="shared" si="14"/>
        <v>805.23243451820974</v>
      </c>
      <c r="C186" s="103">
        <f t="shared" si="15"/>
        <v>435.2028071230643</v>
      </c>
      <c r="D186" s="103">
        <f t="shared" si="16"/>
        <v>370.02962739514544</v>
      </c>
      <c r="E186" s="103">
        <f t="shared" si="17"/>
        <v>104078.64408214028</v>
      </c>
      <c r="F186" s="6"/>
      <c r="G186" s="2">
        <v>174</v>
      </c>
      <c r="H186" s="101">
        <v>805.23243451820974</v>
      </c>
      <c r="I186" s="101">
        <v>435.20280712306425</v>
      </c>
      <c r="J186" s="101">
        <v>370.0296273951455</v>
      </c>
      <c r="K186" s="101">
        <v>104078.64408214028</v>
      </c>
      <c r="L186" s="17"/>
    </row>
    <row r="187" spans="1:12" x14ac:dyDescent="0.35">
      <c r="A187" s="24">
        <v>175</v>
      </c>
      <c r="B187" s="103">
        <f t="shared" si="14"/>
        <v>805.23243451820974</v>
      </c>
      <c r="C187" s="103">
        <f t="shared" si="15"/>
        <v>433.6610170089179</v>
      </c>
      <c r="D187" s="103">
        <f t="shared" si="16"/>
        <v>371.57141750929185</v>
      </c>
      <c r="E187" s="103">
        <f t="shared" si="17"/>
        <v>103707.07266463099</v>
      </c>
      <c r="F187" s="6"/>
      <c r="G187" s="2">
        <v>175</v>
      </c>
      <c r="H187" s="101">
        <v>805.23243451820974</v>
      </c>
      <c r="I187" s="101">
        <v>433.66101700891784</v>
      </c>
      <c r="J187" s="101">
        <v>371.5714175092919</v>
      </c>
      <c r="K187" s="101">
        <v>103707.07266463099</v>
      </c>
      <c r="L187" s="17"/>
    </row>
    <row r="188" spans="1:12" x14ac:dyDescent="0.35">
      <c r="A188" s="24">
        <v>176</v>
      </c>
      <c r="B188" s="103">
        <f t="shared" si="14"/>
        <v>805.23243451820974</v>
      </c>
      <c r="C188" s="103">
        <f t="shared" si="15"/>
        <v>432.1128027692958</v>
      </c>
      <c r="D188" s="103">
        <f t="shared" si="16"/>
        <v>373.11963174891395</v>
      </c>
      <c r="E188" s="103">
        <f t="shared" si="17"/>
        <v>103333.95303288208</v>
      </c>
      <c r="F188" s="6"/>
      <c r="G188" s="2">
        <v>176</v>
      </c>
      <c r="H188" s="101">
        <v>805.23243451820974</v>
      </c>
      <c r="I188" s="101">
        <v>432.1128027692958</v>
      </c>
      <c r="J188" s="101">
        <v>373.11963174891395</v>
      </c>
      <c r="K188" s="101">
        <v>103333.95303288208</v>
      </c>
      <c r="L188" s="17"/>
    </row>
    <row r="189" spans="1:12" x14ac:dyDescent="0.35">
      <c r="A189" s="24">
        <v>177</v>
      </c>
      <c r="B189" s="103">
        <f t="shared" si="14"/>
        <v>805.23243451820974</v>
      </c>
      <c r="C189" s="103">
        <f t="shared" si="15"/>
        <v>430.55813763700871</v>
      </c>
      <c r="D189" s="103">
        <f t="shared" si="16"/>
        <v>374.67429688120103</v>
      </c>
      <c r="E189" s="103">
        <f t="shared" si="17"/>
        <v>102959.27873600088</v>
      </c>
      <c r="F189" s="6"/>
      <c r="G189" s="2">
        <v>177</v>
      </c>
      <c r="H189" s="101">
        <v>805.23243451820974</v>
      </c>
      <c r="I189" s="101">
        <v>430.55813763700871</v>
      </c>
      <c r="J189" s="101">
        <v>374.67429688120103</v>
      </c>
      <c r="K189" s="101">
        <v>102959.27873600088</v>
      </c>
      <c r="L189" s="17"/>
    </row>
    <row r="190" spans="1:12" x14ac:dyDescent="0.35">
      <c r="A190" s="24">
        <v>178</v>
      </c>
      <c r="B190" s="103">
        <f t="shared" si="14"/>
        <v>805.23243451820974</v>
      </c>
      <c r="C190" s="103">
        <f t="shared" si="15"/>
        <v>428.99699473333703</v>
      </c>
      <c r="D190" s="103">
        <f t="shared" si="16"/>
        <v>376.23543978487271</v>
      </c>
      <c r="E190" s="103">
        <f t="shared" si="17"/>
        <v>102583.04329621601</v>
      </c>
      <c r="F190" s="6"/>
      <c r="G190" s="2">
        <v>178</v>
      </c>
      <c r="H190" s="101">
        <v>805.23243451820974</v>
      </c>
      <c r="I190" s="101">
        <v>428.99699473333703</v>
      </c>
      <c r="J190" s="101">
        <v>376.23543978487271</v>
      </c>
      <c r="K190" s="101">
        <v>102583.04329621601</v>
      </c>
      <c r="L190" s="17"/>
    </row>
    <row r="191" spans="1:12" x14ac:dyDescent="0.35">
      <c r="A191" s="24">
        <v>179</v>
      </c>
      <c r="B191" s="103">
        <f t="shared" si="14"/>
        <v>805.23243451820974</v>
      </c>
      <c r="C191" s="103">
        <f t="shared" si="15"/>
        <v>427.42934706756677</v>
      </c>
      <c r="D191" s="103">
        <f t="shared" si="16"/>
        <v>377.80308745064298</v>
      </c>
      <c r="E191" s="103">
        <f t="shared" si="17"/>
        <v>102205.24020876538</v>
      </c>
      <c r="F191" s="6"/>
      <c r="G191" s="2">
        <v>179</v>
      </c>
      <c r="H191" s="101">
        <v>805.23243451820974</v>
      </c>
      <c r="I191" s="101">
        <v>427.42934706756677</v>
      </c>
      <c r="J191" s="101">
        <v>377.80308745064298</v>
      </c>
      <c r="K191" s="101">
        <v>102205.24020876538</v>
      </c>
      <c r="L191" s="17"/>
    </row>
    <row r="192" spans="1:12" x14ac:dyDescent="0.35">
      <c r="A192" s="24">
        <v>180</v>
      </c>
      <c r="B192" s="103">
        <f t="shared" si="14"/>
        <v>805.23243451820974</v>
      </c>
      <c r="C192" s="103">
        <f t="shared" si="15"/>
        <v>425.85516753652246</v>
      </c>
      <c r="D192" s="103">
        <f t="shared" si="16"/>
        <v>379.37726698168728</v>
      </c>
      <c r="E192" s="103">
        <f t="shared" si="17"/>
        <v>101825.86294178369</v>
      </c>
      <c r="F192" s="6"/>
      <c r="G192" s="2">
        <v>180</v>
      </c>
      <c r="H192" s="101">
        <v>805.23243451820974</v>
      </c>
      <c r="I192" s="101">
        <v>425.8551675365224</v>
      </c>
      <c r="J192" s="101">
        <v>379.37726698168734</v>
      </c>
      <c r="K192" s="101">
        <v>101825.86294178369</v>
      </c>
      <c r="L192" s="17"/>
    </row>
    <row r="193" spans="1:12" x14ac:dyDescent="0.35">
      <c r="A193" s="24">
        <v>181</v>
      </c>
      <c r="B193" s="103">
        <f t="shared" si="14"/>
        <v>805.23243451820974</v>
      </c>
      <c r="C193" s="103">
        <f t="shared" si="15"/>
        <v>424.2744289240988</v>
      </c>
      <c r="D193" s="103">
        <f t="shared" si="16"/>
        <v>380.95800559411094</v>
      </c>
      <c r="E193" s="103">
        <f t="shared" si="17"/>
        <v>101444.90493618959</v>
      </c>
      <c r="F193" s="6"/>
      <c r="G193" s="2">
        <v>181</v>
      </c>
      <c r="H193" s="101">
        <v>805.23243451820974</v>
      </c>
      <c r="I193" s="101">
        <v>424.27442892409874</v>
      </c>
      <c r="J193" s="101">
        <v>380.958005594111</v>
      </c>
      <c r="K193" s="101">
        <v>101444.90493618959</v>
      </c>
      <c r="L193" s="17"/>
    </row>
    <row r="194" spans="1:12" x14ac:dyDescent="0.35">
      <c r="A194" s="24">
        <v>182</v>
      </c>
      <c r="B194" s="103">
        <f t="shared" si="14"/>
        <v>805.23243451820974</v>
      </c>
      <c r="C194" s="103">
        <f t="shared" si="15"/>
        <v>422.68710390078996</v>
      </c>
      <c r="D194" s="103">
        <f t="shared" si="16"/>
        <v>382.54533061741978</v>
      </c>
      <c r="E194" s="103">
        <f t="shared" si="17"/>
        <v>101062.35960557217</v>
      </c>
      <c r="F194" s="6"/>
      <c r="G194" s="2">
        <v>182</v>
      </c>
      <c r="H194" s="101">
        <v>805.23243451820974</v>
      </c>
      <c r="I194" s="101">
        <v>422.68710390078996</v>
      </c>
      <c r="J194" s="101">
        <v>382.54533061741978</v>
      </c>
      <c r="K194" s="101">
        <v>101062.35960557217</v>
      </c>
      <c r="L194" s="17"/>
    </row>
    <row r="195" spans="1:12" x14ac:dyDescent="0.35">
      <c r="A195" s="24">
        <v>183</v>
      </c>
      <c r="B195" s="103">
        <f t="shared" si="14"/>
        <v>805.23243451820974</v>
      </c>
      <c r="C195" s="103">
        <f t="shared" si="15"/>
        <v>421.09316502321741</v>
      </c>
      <c r="D195" s="103">
        <f t="shared" si="16"/>
        <v>384.13926949499233</v>
      </c>
      <c r="E195" s="103">
        <f t="shared" si="17"/>
        <v>100678.22033607718</v>
      </c>
      <c r="F195" s="6"/>
      <c r="G195" s="2">
        <v>183</v>
      </c>
      <c r="H195" s="101">
        <v>805.23243451820974</v>
      </c>
      <c r="I195" s="101">
        <v>421.09316502321741</v>
      </c>
      <c r="J195" s="101">
        <v>384.13926949499233</v>
      </c>
      <c r="K195" s="101">
        <v>100678.22033607718</v>
      </c>
      <c r="L195" s="17"/>
    </row>
    <row r="196" spans="1:12" x14ac:dyDescent="0.35">
      <c r="A196" s="24">
        <v>184</v>
      </c>
      <c r="B196" s="103">
        <f t="shared" si="14"/>
        <v>805.23243451820974</v>
      </c>
      <c r="C196" s="103">
        <f t="shared" si="15"/>
        <v>419.49258473365495</v>
      </c>
      <c r="D196" s="103">
        <f t="shared" si="16"/>
        <v>385.73984978455479</v>
      </c>
      <c r="E196" s="103">
        <f t="shared" si="17"/>
        <v>100292.48048629262</v>
      </c>
      <c r="F196" s="6"/>
      <c r="G196" s="2">
        <v>184</v>
      </c>
      <c r="H196" s="101">
        <v>805.23243451820974</v>
      </c>
      <c r="I196" s="101">
        <v>419.49258473365495</v>
      </c>
      <c r="J196" s="101">
        <v>385.73984978455479</v>
      </c>
      <c r="K196" s="101">
        <v>100292.48048629262</v>
      </c>
      <c r="L196" s="17"/>
    </row>
    <row r="197" spans="1:12" x14ac:dyDescent="0.35">
      <c r="A197" s="24">
        <v>185</v>
      </c>
      <c r="B197" s="103">
        <f t="shared" si="14"/>
        <v>805.23243451820974</v>
      </c>
      <c r="C197" s="103">
        <f t="shared" si="15"/>
        <v>417.88533535955258</v>
      </c>
      <c r="D197" s="103">
        <f t="shared" si="16"/>
        <v>387.34709915865716</v>
      </c>
      <c r="E197" s="103">
        <f t="shared" si="17"/>
        <v>99905.133387133974</v>
      </c>
      <c r="F197" s="6"/>
      <c r="G197" s="2">
        <v>185</v>
      </c>
      <c r="H197" s="101">
        <v>805.23243451820974</v>
      </c>
      <c r="I197" s="101">
        <v>417.88533535955264</v>
      </c>
      <c r="J197" s="101">
        <v>387.3470991586571</v>
      </c>
      <c r="K197" s="101">
        <v>99905.133387133974</v>
      </c>
      <c r="L197" s="17"/>
    </row>
    <row r="198" spans="1:12" x14ac:dyDescent="0.35">
      <c r="A198" s="24">
        <v>186</v>
      </c>
      <c r="B198" s="103">
        <f t="shared" si="14"/>
        <v>805.23243451820974</v>
      </c>
      <c r="C198" s="103">
        <f t="shared" si="15"/>
        <v>416.27138911305821</v>
      </c>
      <c r="D198" s="103">
        <f t="shared" si="16"/>
        <v>388.96104540515154</v>
      </c>
      <c r="E198" s="103">
        <f t="shared" si="17"/>
        <v>99516.172341728816</v>
      </c>
      <c r="F198" s="6"/>
      <c r="G198" s="2">
        <v>186</v>
      </c>
      <c r="H198" s="101">
        <v>805.23243451820974</v>
      </c>
      <c r="I198" s="101">
        <v>416.27138911305826</v>
      </c>
      <c r="J198" s="101">
        <v>388.96104540515148</v>
      </c>
      <c r="K198" s="101">
        <v>99516.172341728816</v>
      </c>
      <c r="L198" s="17"/>
    </row>
    <row r="199" spans="1:12" x14ac:dyDescent="0.35">
      <c r="A199" s="24">
        <v>187</v>
      </c>
      <c r="B199" s="103">
        <f t="shared" si="14"/>
        <v>805.23243451820974</v>
      </c>
      <c r="C199" s="103">
        <f t="shared" si="15"/>
        <v>414.65071809053671</v>
      </c>
      <c r="D199" s="103">
        <f t="shared" si="16"/>
        <v>390.58171642767303</v>
      </c>
      <c r="E199" s="103">
        <f t="shared" si="17"/>
        <v>99125.590625301149</v>
      </c>
      <c r="F199" s="6"/>
      <c r="G199" s="2">
        <v>187</v>
      </c>
      <c r="H199" s="101">
        <v>805.23243451820974</v>
      </c>
      <c r="I199" s="101">
        <v>414.65071809053677</v>
      </c>
      <c r="J199" s="101">
        <v>390.58171642767297</v>
      </c>
      <c r="K199" s="101">
        <v>99125.590625301149</v>
      </c>
      <c r="L199" s="17"/>
    </row>
    <row r="200" spans="1:12" x14ac:dyDescent="0.35">
      <c r="A200" s="24">
        <v>188</v>
      </c>
      <c r="B200" s="103">
        <f t="shared" si="14"/>
        <v>805.23243451820974</v>
      </c>
      <c r="C200" s="103">
        <f t="shared" si="15"/>
        <v>413.02329427208815</v>
      </c>
      <c r="D200" s="103">
        <f t="shared" si="16"/>
        <v>392.20914024612159</v>
      </c>
      <c r="E200" s="103">
        <f t="shared" si="17"/>
        <v>98733.381485055026</v>
      </c>
      <c r="F200" s="6"/>
      <c r="G200" s="2">
        <v>188</v>
      </c>
      <c r="H200" s="101">
        <v>805.23243451820974</v>
      </c>
      <c r="I200" s="101">
        <v>413.02329427208815</v>
      </c>
      <c r="J200" s="101">
        <v>392.20914024612159</v>
      </c>
      <c r="K200" s="101">
        <v>98733.381485055026</v>
      </c>
      <c r="L200" s="17"/>
    </row>
    <row r="201" spans="1:12" x14ac:dyDescent="0.35">
      <c r="A201" s="24">
        <v>189</v>
      </c>
      <c r="B201" s="103">
        <f t="shared" si="14"/>
        <v>805.23243451820974</v>
      </c>
      <c r="C201" s="103">
        <f t="shared" si="15"/>
        <v>411.38908952106266</v>
      </c>
      <c r="D201" s="103">
        <f t="shared" si="16"/>
        <v>393.84334499714708</v>
      </c>
      <c r="E201" s="103">
        <f t="shared" si="17"/>
        <v>98339.538140057877</v>
      </c>
      <c r="F201" s="6"/>
      <c r="G201" s="2">
        <v>189</v>
      </c>
      <c r="H201" s="101">
        <v>805.23243451820974</v>
      </c>
      <c r="I201" s="101">
        <v>411.38908952106266</v>
      </c>
      <c r="J201" s="101">
        <v>393.84334499714708</v>
      </c>
      <c r="K201" s="101">
        <v>98339.538140057877</v>
      </c>
      <c r="L201" s="17"/>
    </row>
    <row r="202" spans="1:12" x14ac:dyDescent="0.35">
      <c r="A202" s="24">
        <v>190</v>
      </c>
      <c r="B202" s="103">
        <f t="shared" si="14"/>
        <v>805.23243451820974</v>
      </c>
      <c r="C202" s="103">
        <f t="shared" si="15"/>
        <v>409.74807558357452</v>
      </c>
      <c r="D202" s="103">
        <f t="shared" si="16"/>
        <v>395.48435893463522</v>
      </c>
      <c r="E202" s="103">
        <f t="shared" si="17"/>
        <v>97944.053781123235</v>
      </c>
      <c r="F202" s="6"/>
      <c r="G202" s="2">
        <v>190</v>
      </c>
      <c r="H202" s="101">
        <v>805.23243451820974</v>
      </c>
      <c r="I202" s="101">
        <v>409.74807558357452</v>
      </c>
      <c r="J202" s="101">
        <v>395.48435893463522</v>
      </c>
      <c r="K202" s="101">
        <v>97944.053781123235</v>
      </c>
      <c r="L202" s="17"/>
    </row>
    <row r="203" spans="1:12" x14ac:dyDescent="0.35">
      <c r="A203" s="24">
        <v>191</v>
      </c>
      <c r="B203" s="103">
        <f t="shared" si="14"/>
        <v>805.23243451820974</v>
      </c>
      <c r="C203" s="103">
        <f t="shared" si="15"/>
        <v>408.10022408801348</v>
      </c>
      <c r="D203" s="103">
        <f t="shared" si="16"/>
        <v>397.13221043019627</v>
      </c>
      <c r="E203" s="103">
        <f t="shared" si="17"/>
        <v>97546.921570693041</v>
      </c>
      <c r="F203" s="6"/>
      <c r="G203" s="2">
        <v>191</v>
      </c>
      <c r="H203" s="101">
        <v>805.23243451820974</v>
      </c>
      <c r="I203" s="101">
        <v>408.10022408801348</v>
      </c>
      <c r="J203" s="101">
        <v>397.13221043019627</v>
      </c>
      <c r="K203" s="101">
        <v>97546.921570693041</v>
      </c>
      <c r="L203" s="17"/>
    </row>
    <row r="204" spans="1:12" x14ac:dyDescent="0.35">
      <c r="A204" s="24">
        <v>192</v>
      </c>
      <c r="B204" s="103">
        <f t="shared" si="14"/>
        <v>805.23243451820974</v>
      </c>
      <c r="C204" s="103">
        <f t="shared" si="15"/>
        <v>406.44550654455435</v>
      </c>
      <c r="D204" s="103">
        <f t="shared" si="16"/>
        <v>398.78692797365539</v>
      </c>
      <c r="E204" s="103">
        <f t="shared" si="17"/>
        <v>97148.134642719378</v>
      </c>
      <c r="F204" s="6"/>
      <c r="G204" s="2">
        <v>192</v>
      </c>
      <c r="H204" s="101">
        <v>805.23243451820974</v>
      </c>
      <c r="I204" s="101">
        <v>406.44550654455435</v>
      </c>
      <c r="J204" s="101">
        <v>398.78692797365539</v>
      </c>
      <c r="K204" s="101">
        <v>97148.134642719378</v>
      </c>
      <c r="L204" s="17"/>
    </row>
    <row r="205" spans="1:12" x14ac:dyDescent="0.35">
      <c r="A205" s="24">
        <v>193</v>
      </c>
      <c r="B205" s="103">
        <f t="shared" si="14"/>
        <v>805.23243451820974</v>
      </c>
      <c r="C205" s="103">
        <f t="shared" si="15"/>
        <v>404.78389434466408</v>
      </c>
      <c r="D205" s="103">
        <f t="shared" si="16"/>
        <v>400.44854017354567</v>
      </c>
      <c r="E205" s="103">
        <f t="shared" si="17"/>
        <v>96747.686102545835</v>
      </c>
      <c r="F205" s="6"/>
      <c r="G205" s="2">
        <v>193</v>
      </c>
      <c r="H205" s="101">
        <v>805.23243451820974</v>
      </c>
      <c r="I205" s="101">
        <v>404.78389434466408</v>
      </c>
      <c r="J205" s="101">
        <v>400.44854017354567</v>
      </c>
      <c r="K205" s="101">
        <v>96747.686102545835</v>
      </c>
      <c r="L205" s="17"/>
    </row>
    <row r="206" spans="1:12" x14ac:dyDescent="0.35">
      <c r="A206" s="24">
        <v>194</v>
      </c>
      <c r="B206" s="103">
        <f t="shared" ref="B206:B269" si="18">$B$8</f>
        <v>805.23243451820974</v>
      </c>
      <c r="C206" s="103">
        <f t="shared" si="15"/>
        <v>403.11535876060765</v>
      </c>
      <c r="D206" s="103">
        <f t="shared" si="16"/>
        <v>402.11707575760209</v>
      </c>
      <c r="E206" s="103">
        <f t="shared" si="17"/>
        <v>96345.569026788231</v>
      </c>
      <c r="F206" s="6"/>
      <c r="G206" s="2">
        <v>194</v>
      </c>
      <c r="H206" s="101">
        <v>805.23243451820974</v>
      </c>
      <c r="I206" s="101">
        <v>403.11535876060765</v>
      </c>
      <c r="J206" s="101">
        <v>402.11707575760209</v>
      </c>
      <c r="K206" s="101">
        <v>96345.569026788231</v>
      </c>
      <c r="L206" s="17"/>
    </row>
    <row r="207" spans="1:12" x14ac:dyDescent="0.35">
      <c r="A207" s="24">
        <v>195</v>
      </c>
      <c r="B207" s="103">
        <f t="shared" si="18"/>
        <v>805.23243451820974</v>
      </c>
      <c r="C207" s="103">
        <f t="shared" si="15"/>
        <v>401.439870944951</v>
      </c>
      <c r="D207" s="103">
        <f t="shared" si="16"/>
        <v>403.79256357325875</v>
      </c>
      <c r="E207" s="103">
        <f t="shared" si="17"/>
        <v>95941.776463214977</v>
      </c>
      <c r="F207" s="6"/>
      <c r="G207" s="2">
        <v>195</v>
      </c>
      <c r="H207" s="101">
        <v>805.23243451820974</v>
      </c>
      <c r="I207" s="101">
        <v>401.439870944951</v>
      </c>
      <c r="J207" s="101">
        <v>403.79256357325875</v>
      </c>
      <c r="K207" s="101">
        <v>95941.776463214977</v>
      </c>
      <c r="L207" s="17"/>
    </row>
    <row r="208" spans="1:12" x14ac:dyDescent="0.35">
      <c r="A208" s="24">
        <v>196</v>
      </c>
      <c r="B208" s="103">
        <f t="shared" si="18"/>
        <v>805.23243451820974</v>
      </c>
      <c r="C208" s="103">
        <f t="shared" si="15"/>
        <v>399.75740193006237</v>
      </c>
      <c r="D208" s="103">
        <f t="shared" si="16"/>
        <v>405.47503258814737</v>
      </c>
      <c r="E208" s="103">
        <f t="shared" si="17"/>
        <v>95536.301430626831</v>
      </c>
      <c r="F208" s="6"/>
      <c r="G208" s="2">
        <v>196</v>
      </c>
      <c r="H208" s="101">
        <v>805.23243451820974</v>
      </c>
      <c r="I208" s="101">
        <v>399.75740193006243</v>
      </c>
      <c r="J208" s="101">
        <v>405.47503258814731</v>
      </c>
      <c r="K208" s="101">
        <v>95536.301430626831</v>
      </c>
      <c r="L208" s="17"/>
    </row>
    <row r="209" spans="1:12" x14ac:dyDescent="0.35">
      <c r="A209" s="24">
        <v>197</v>
      </c>
      <c r="B209" s="103">
        <f t="shared" si="18"/>
        <v>805.23243451820974</v>
      </c>
      <c r="C209" s="103">
        <f t="shared" si="15"/>
        <v>398.06792262761178</v>
      </c>
      <c r="D209" s="103">
        <f t="shared" si="16"/>
        <v>407.16451189059796</v>
      </c>
      <c r="E209" s="103">
        <f t="shared" si="17"/>
        <v>95129.136918736229</v>
      </c>
      <c r="F209" s="6"/>
      <c r="G209" s="2">
        <v>197</v>
      </c>
      <c r="H209" s="101">
        <v>805.23243451820974</v>
      </c>
      <c r="I209" s="101">
        <v>398.06792262761184</v>
      </c>
      <c r="J209" s="101">
        <v>407.16451189059791</v>
      </c>
      <c r="K209" s="101">
        <v>95129.136918736229</v>
      </c>
      <c r="L209" s="17"/>
    </row>
    <row r="210" spans="1:12" x14ac:dyDescent="0.35">
      <c r="A210" s="24">
        <v>198</v>
      </c>
      <c r="B210" s="103">
        <f t="shared" si="18"/>
        <v>805.23243451820974</v>
      </c>
      <c r="C210" s="103">
        <f t="shared" si="15"/>
        <v>396.37140382806768</v>
      </c>
      <c r="D210" s="103">
        <f t="shared" si="16"/>
        <v>408.86103069014206</v>
      </c>
      <c r="E210" s="103">
        <f t="shared" si="17"/>
        <v>94720.27588804609</v>
      </c>
      <c r="F210" s="6"/>
      <c r="G210" s="2">
        <v>198</v>
      </c>
      <c r="H210" s="101">
        <v>805.23243451820974</v>
      </c>
      <c r="I210" s="101">
        <v>396.37140382806763</v>
      </c>
      <c r="J210" s="101">
        <v>408.86103069014212</v>
      </c>
      <c r="K210" s="101">
        <v>94720.27588804609</v>
      </c>
      <c r="L210" s="17"/>
    </row>
    <row r="211" spans="1:12" x14ac:dyDescent="0.35">
      <c r="A211" s="24">
        <v>199</v>
      </c>
      <c r="B211" s="103">
        <f t="shared" si="18"/>
        <v>805.23243451820974</v>
      </c>
      <c r="C211" s="103">
        <f t="shared" si="15"/>
        <v>394.66781620019202</v>
      </c>
      <c r="D211" s="103">
        <f t="shared" si="16"/>
        <v>410.56461831801772</v>
      </c>
      <c r="E211" s="103">
        <f t="shared" si="17"/>
        <v>94309.711269728068</v>
      </c>
      <c r="F211" s="6"/>
      <c r="G211" s="2">
        <v>199</v>
      </c>
      <c r="H211" s="101">
        <v>805.23243451820974</v>
      </c>
      <c r="I211" s="101">
        <v>394.66781620019208</v>
      </c>
      <c r="J211" s="101">
        <v>410.56461831801766</v>
      </c>
      <c r="K211" s="101">
        <v>94309.711269728068</v>
      </c>
      <c r="L211" s="17"/>
    </row>
    <row r="212" spans="1:12" x14ac:dyDescent="0.35">
      <c r="A212" s="24">
        <v>200</v>
      </c>
      <c r="B212" s="103">
        <f t="shared" si="18"/>
        <v>805.23243451820974</v>
      </c>
      <c r="C212" s="103">
        <f t="shared" si="15"/>
        <v>392.9571302905336</v>
      </c>
      <c r="D212" s="103">
        <f t="shared" si="16"/>
        <v>412.27530422767614</v>
      </c>
      <c r="E212" s="103">
        <f t="shared" si="17"/>
        <v>93897.435965500394</v>
      </c>
      <c r="F212" s="6"/>
      <c r="G212" s="2">
        <v>200</v>
      </c>
      <c r="H212" s="101">
        <v>805.23243451820974</v>
      </c>
      <c r="I212" s="101">
        <v>392.95713029053366</v>
      </c>
      <c r="J212" s="101">
        <v>412.27530422767609</v>
      </c>
      <c r="K212" s="101">
        <v>93897.435965500394</v>
      </c>
      <c r="L212" s="17"/>
    </row>
    <row r="213" spans="1:12" x14ac:dyDescent="0.35">
      <c r="A213" s="24">
        <v>201</v>
      </c>
      <c r="B213" s="103">
        <f t="shared" si="18"/>
        <v>805.23243451820974</v>
      </c>
      <c r="C213" s="103">
        <f t="shared" si="15"/>
        <v>391.23931652291827</v>
      </c>
      <c r="D213" s="103">
        <f t="shared" si="16"/>
        <v>413.99311799529147</v>
      </c>
      <c r="E213" s="103">
        <f t="shared" si="17"/>
        <v>93483.442847505095</v>
      </c>
      <c r="F213" s="6"/>
      <c r="G213" s="2">
        <v>201</v>
      </c>
      <c r="H213" s="101">
        <v>805.23243451820974</v>
      </c>
      <c r="I213" s="101">
        <v>391.23931652291833</v>
      </c>
      <c r="J213" s="101">
        <v>413.99311799529141</v>
      </c>
      <c r="K213" s="101">
        <v>93483.442847505095</v>
      </c>
      <c r="L213" s="17"/>
    </row>
    <row r="214" spans="1:12" x14ac:dyDescent="0.35">
      <c r="A214" s="24">
        <v>202</v>
      </c>
      <c r="B214" s="103">
        <f t="shared" si="18"/>
        <v>805.23243451820974</v>
      </c>
      <c r="C214" s="103">
        <f t="shared" si="15"/>
        <v>389.51434519793793</v>
      </c>
      <c r="D214" s="103">
        <f t="shared" si="16"/>
        <v>415.71808932027182</v>
      </c>
      <c r="E214" s="103">
        <f t="shared" si="17"/>
        <v>93067.724758184821</v>
      </c>
      <c r="F214" s="6"/>
      <c r="G214" s="2">
        <v>202</v>
      </c>
      <c r="H214" s="101">
        <v>805.23243451820974</v>
      </c>
      <c r="I214" s="101">
        <v>389.51434519793793</v>
      </c>
      <c r="J214" s="101">
        <v>415.71808932027182</v>
      </c>
      <c r="K214" s="101">
        <v>93067.724758184821</v>
      </c>
      <c r="L214" s="17"/>
    </row>
    <row r="215" spans="1:12" x14ac:dyDescent="0.35">
      <c r="A215" s="24">
        <v>203</v>
      </c>
      <c r="B215" s="103">
        <f t="shared" si="18"/>
        <v>805.23243451820974</v>
      </c>
      <c r="C215" s="103">
        <f t="shared" si="15"/>
        <v>387.78218649243678</v>
      </c>
      <c r="D215" s="103">
        <f t="shared" si="16"/>
        <v>417.45024802577296</v>
      </c>
      <c r="E215" s="103">
        <f t="shared" si="17"/>
        <v>92650.274510159041</v>
      </c>
      <c r="F215" s="6"/>
      <c r="G215" s="2">
        <v>203</v>
      </c>
      <c r="H215" s="101">
        <v>805.23243451820974</v>
      </c>
      <c r="I215" s="101">
        <v>387.78218649243678</v>
      </c>
      <c r="J215" s="101">
        <v>417.45024802577296</v>
      </c>
      <c r="K215" s="101">
        <v>92650.274510159041</v>
      </c>
      <c r="L215" s="17"/>
    </row>
    <row r="216" spans="1:12" x14ac:dyDescent="0.35">
      <c r="A216" s="24">
        <v>204</v>
      </c>
      <c r="B216" s="103">
        <f t="shared" si="18"/>
        <v>805.23243451820974</v>
      </c>
      <c r="C216" s="103">
        <f t="shared" si="15"/>
        <v>386.04281045899603</v>
      </c>
      <c r="D216" s="103">
        <f t="shared" si="16"/>
        <v>419.18962405921371</v>
      </c>
      <c r="E216" s="103">
        <f t="shared" si="17"/>
        <v>92231.084886099823</v>
      </c>
      <c r="F216" s="6"/>
      <c r="G216" s="2">
        <v>204</v>
      </c>
      <c r="H216" s="101">
        <v>805.23243451820974</v>
      </c>
      <c r="I216" s="101">
        <v>386.04281045899603</v>
      </c>
      <c r="J216" s="101">
        <v>419.18962405921371</v>
      </c>
      <c r="K216" s="101">
        <v>92231.084886099823</v>
      </c>
      <c r="L216" s="17"/>
    </row>
    <row r="217" spans="1:12" x14ac:dyDescent="0.35">
      <c r="A217" s="24">
        <v>205</v>
      </c>
      <c r="B217" s="103">
        <f t="shared" si="18"/>
        <v>805.23243451820974</v>
      </c>
      <c r="C217" s="103">
        <f t="shared" si="15"/>
        <v>384.29618702541597</v>
      </c>
      <c r="D217" s="103">
        <f t="shared" si="16"/>
        <v>420.93624749279377</v>
      </c>
      <c r="E217" s="103">
        <f t="shared" si="17"/>
        <v>91810.148638607032</v>
      </c>
      <c r="F217" s="6"/>
      <c r="G217" s="2">
        <v>205</v>
      </c>
      <c r="H217" s="101">
        <v>805.23243451820974</v>
      </c>
      <c r="I217" s="101">
        <v>384.29618702541597</v>
      </c>
      <c r="J217" s="101">
        <v>420.93624749279377</v>
      </c>
      <c r="K217" s="101">
        <v>91810.148638607032</v>
      </c>
      <c r="L217" s="17"/>
    </row>
    <row r="218" spans="1:12" x14ac:dyDescent="0.35">
      <c r="A218" s="24">
        <v>206</v>
      </c>
      <c r="B218" s="103">
        <f t="shared" si="18"/>
        <v>805.23243451820974</v>
      </c>
      <c r="C218" s="103">
        <f t="shared" ref="C218:C281" si="19">E217*$B$5/$B$7</f>
        <v>382.54228599419599</v>
      </c>
      <c r="D218" s="103">
        <f t="shared" ref="D218:D281" si="20">B218-C218</f>
        <v>422.69014852401375</v>
      </c>
      <c r="E218" s="103">
        <f t="shared" ref="E218:E281" si="21">E217-D218</f>
        <v>91387.458490083023</v>
      </c>
      <c r="F218" s="6"/>
      <c r="G218" s="2">
        <v>206</v>
      </c>
      <c r="H218" s="101">
        <v>805.23243451820974</v>
      </c>
      <c r="I218" s="101">
        <v>382.54228599419599</v>
      </c>
      <c r="J218" s="101">
        <v>422.69014852401375</v>
      </c>
      <c r="K218" s="101">
        <v>91387.458490083023</v>
      </c>
      <c r="L218" s="17"/>
    </row>
    <row r="219" spans="1:12" x14ac:dyDescent="0.35">
      <c r="A219" s="24">
        <v>207</v>
      </c>
      <c r="B219" s="103">
        <f t="shared" si="18"/>
        <v>805.23243451820974</v>
      </c>
      <c r="C219" s="103">
        <f t="shared" si="19"/>
        <v>380.78107704201261</v>
      </c>
      <c r="D219" s="103">
        <f t="shared" si="20"/>
        <v>424.45135747619713</v>
      </c>
      <c r="E219" s="103">
        <f t="shared" si="21"/>
        <v>90963.007132606828</v>
      </c>
      <c r="F219" s="6"/>
      <c r="G219" s="2">
        <v>207</v>
      </c>
      <c r="H219" s="101">
        <v>805.23243451820974</v>
      </c>
      <c r="I219" s="101">
        <v>380.78107704201261</v>
      </c>
      <c r="J219" s="101">
        <v>424.45135747619713</v>
      </c>
      <c r="K219" s="101">
        <v>90963.007132606828</v>
      </c>
      <c r="L219" s="17"/>
    </row>
    <row r="220" spans="1:12" x14ac:dyDescent="0.35">
      <c r="A220" s="24">
        <v>208</v>
      </c>
      <c r="B220" s="103">
        <f t="shared" si="18"/>
        <v>805.23243451820974</v>
      </c>
      <c r="C220" s="103">
        <f t="shared" si="19"/>
        <v>379.01252971919513</v>
      </c>
      <c r="D220" s="103">
        <f t="shared" si="20"/>
        <v>426.21990479901461</v>
      </c>
      <c r="E220" s="103">
        <f t="shared" si="21"/>
        <v>90536.787227807814</v>
      </c>
      <c r="F220" s="6"/>
      <c r="G220" s="2">
        <v>208</v>
      </c>
      <c r="H220" s="101">
        <v>805.23243451820974</v>
      </c>
      <c r="I220" s="101">
        <v>379.01252971919513</v>
      </c>
      <c r="J220" s="101">
        <v>426.21990479901461</v>
      </c>
      <c r="K220" s="101">
        <v>90536.787227807814</v>
      </c>
      <c r="L220" s="17"/>
    </row>
    <row r="221" spans="1:12" x14ac:dyDescent="0.35">
      <c r="A221" s="24">
        <v>209</v>
      </c>
      <c r="B221" s="103">
        <f t="shared" si="18"/>
        <v>805.23243451820974</v>
      </c>
      <c r="C221" s="103">
        <f t="shared" si="19"/>
        <v>377.23661344919924</v>
      </c>
      <c r="D221" s="103">
        <f t="shared" si="20"/>
        <v>427.9958210690105</v>
      </c>
      <c r="E221" s="103">
        <f t="shared" si="21"/>
        <v>90108.791406738805</v>
      </c>
      <c r="F221" s="6"/>
      <c r="G221" s="2">
        <v>209</v>
      </c>
      <c r="H221" s="101">
        <v>805.23243451820974</v>
      </c>
      <c r="I221" s="101">
        <v>377.23661344919924</v>
      </c>
      <c r="J221" s="101">
        <v>427.9958210690105</v>
      </c>
      <c r="K221" s="101">
        <v>90108.791406738805</v>
      </c>
      <c r="L221" s="17"/>
    </row>
    <row r="222" spans="1:12" x14ac:dyDescent="0.35">
      <c r="A222" s="24">
        <v>210</v>
      </c>
      <c r="B222" s="103">
        <f t="shared" si="18"/>
        <v>805.23243451820974</v>
      </c>
      <c r="C222" s="103">
        <f t="shared" si="19"/>
        <v>375.45329752807834</v>
      </c>
      <c r="D222" s="103">
        <f t="shared" si="20"/>
        <v>429.77913699013141</v>
      </c>
      <c r="E222" s="103">
        <f t="shared" si="21"/>
        <v>89679.01226974868</v>
      </c>
      <c r="F222" s="6"/>
      <c r="G222" s="2">
        <v>210</v>
      </c>
      <c r="H222" s="101">
        <v>805.23243451820974</v>
      </c>
      <c r="I222" s="101">
        <v>375.45329752807839</v>
      </c>
      <c r="J222" s="101">
        <v>429.77913699013135</v>
      </c>
      <c r="K222" s="101">
        <v>89679.01226974868</v>
      </c>
      <c r="L222" s="17"/>
    </row>
    <row r="223" spans="1:12" x14ac:dyDescent="0.35">
      <c r="A223" s="24">
        <v>211</v>
      </c>
      <c r="B223" s="103">
        <f t="shared" si="18"/>
        <v>805.23243451820974</v>
      </c>
      <c r="C223" s="103">
        <f t="shared" si="19"/>
        <v>373.66255112395288</v>
      </c>
      <c r="D223" s="103">
        <f t="shared" si="20"/>
        <v>431.56988339425686</v>
      </c>
      <c r="E223" s="103">
        <f t="shared" si="21"/>
        <v>89247.442386354422</v>
      </c>
      <c r="F223" s="6"/>
      <c r="G223" s="2">
        <v>211</v>
      </c>
      <c r="H223" s="101">
        <v>805.23243451820974</v>
      </c>
      <c r="I223" s="101">
        <v>373.66255112395288</v>
      </c>
      <c r="J223" s="101">
        <v>431.56988339425686</v>
      </c>
      <c r="K223" s="101">
        <v>89247.442386354422</v>
      </c>
      <c r="L223" s="17"/>
    </row>
    <row r="224" spans="1:12" x14ac:dyDescent="0.35">
      <c r="A224" s="24">
        <v>212</v>
      </c>
      <c r="B224" s="103">
        <f t="shared" si="18"/>
        <v>805.23243451820974</v>
      </c>
      <c r="C224" s="103">
        <f t="shared" si="19"/>
        <v>371.8643432764768</v>
      </c>
      <c r="D224" s="103">
        <f t="shared" si="20"/>
        <v>433.36809124173294</v>
      </c>
      <c r="E224" s="103">
        <f t="shared" si="21"/>
        <v>88814.074295112689</v>
      </c>
      <c r="F224" s="6"/>
      <c r="G224" s="2">
        <v>212</v>
      </c>
      <c r="H224" s="101">
        <v>805.23243451820974</v>
      </c>
      <c r="I224" s="101">
        <v>371.8643432764768</v>
      </c>
      <c r="J224" s="101">
        <v>433.36809124173294</v>
      </c>
      <c r="K224" s="101">
        <v>88814.074295112689</v>
      </c>
      <c r="L224" s="17"/>
    </row>
    <row r="225" spans="1:12" x14ac:dyDescent="0.35">
      <c r="A225" s="24">
        <v>213</v>
      </c>
      <c r="B225" s="103">
        <f t="shared" si="18"/>
        <v>805.23243451820974</v>
      </c>
      <c r="C225" s="103">
        <f t="shared" si="19"/>
        <v>370.0586428963029</v>
      </c>
      <c r="D225" s="103">
        <f t="shared" si="20"/>
        <v>435.17379162190684</v>
      </c>
      <c r="E225" s="103">
        <f t="shared" si="21"/>
        <v>88378.900503490775</v>
      </c>
      <c r="F225" s="6"/>
      <c r="G225" s="2">
        <v>213</v>
      </c>
      <c r="H225" s="101">
        <v>805.23243451820974</v>
      </c>
      <c r="I225" s="101">
        <v>370.0586428963029</v>
      </c>
      <c r="J225" s="101">
        <v>435.17379162190684</v>
      </c>
      <c r="K225" s="101">
        <v>88378.900503490775</v>
      </c>
      <c r="L225" s="17"/>
    </row>
    <row r="226" spans="1:12" x14ac:dyDescent="0.35">
      <c r="A226" s="24">
        <v>214</v>
      </c>
      <c r="B226" s="103">
        <f t="shared" si="18"/>
        <v>805.23243451820974</v>
      </c>
      <c r="C226" s="103">
        <f t="shared" si="19"/>
        <v>368.24541876454492</v>
      </c>
      <c r="D226" s="103">
        <f t="shared" si="20"/>
        <v>436.98701575366482</v>
      </c>
      <c r="E226" s="103">
        <f t="shared" si="21"/>
        <v>87941.913487737111</v>
      </c>
      <c r="F226" s="6"/>
      <c r="G226" s="2">
        <v>214</v>
      </c>
      <c r="H226" s="101">
        <v>805.23243451820974</v>
      </c>
      <c r="I226" s="101">
        <v>368.24541876454492</v>
      </c>
      <c r="J226" s="101">
        <v>436.98701575366482</v>
      </c>
      <c r="K226" s="101">
        <v>87941.913487737111</v>
      </c>
      <c r="L226" s="17"/>
    </row>
    <row r="227" spans="1:12" x14ac:dyDescent="0.35">
      <c r="A227" s="24">
        <v>215</v>
      </c>
      <c r="B227" s="103">
        <f t="shared" si="18"/>
        <v>805.23243451820974</v>
      </c>
      <c r="C227" s="103">
        <f t="shared" si="19"/>
        <v>366.42463953223796</v>
      </c>
      <c r="D227" s="103">
        <f t="shared" si="20"/>
        <v>438.80779498597178</v>
      </c>
      <c r="E227" s="103">
        <f t="shared" si="21"/>
        <v>87503.105692751138</v>
      </c>
      <c r="F227" s="6"/>
      <c r="G227" s="2">
        <v>215</v>
      </c>
      <c r="H227" s="101">
        <v>805.23243451820974</v>
      </c>
      <c r="I227" s="101">
        <v>366.42463953223796</v>
      </c>
      <c r="J227" s="101">
        <v>438.80779498597178</v>
      </c>
      <c r="K227" s="101">
        <v>87503.105692751138</v>
      </c>
      <c r="L227" s="17"/>
    </row>
    <row r="228" spans="1:12" x14ac:dyDescent="0.35">
      <c r="A228" s="24">
        <v>216</v>
      </c>
      <c r="B228" s="103">
        <f t="shared" si="18"/>
        <v>805.23243451820974</v>
      </c>
      <c r="C228" s="103">
        <f t="shared" si="19"/>
        <v>364.59627371979644</v>
      </c>
      <c r="D228" s="103">
        <f t="shared" si="20"/>
        <v>440.6361607984133</v>
      </c>
      <c r="E228" s="103">
        <f t="shared" si="21"/>
        <v>87062.469531952724</v>
      </c>
      <c r="F228" s="6"/>
      <c r="G228" s="2">
        <v>216</v>
      </c>
      <c r="H228" s="101">
        <v>805.23243451820974</v>
      </c>
      <c r="I228" s="101">
        <v>364.59627371979644</v>
      </c>
      <c r="J228" s="101">
        <v>440.6361607984133</v>
      </c>
      <c r="K228" s="101">
        <v>87062.469531952724</v>
      </c>
      <c r="L228" s="17"/>
    </row>
    <row r="229" spans="1:12" x14ac:dyDescent="0.35">
      <c r="A229" s="24">
        <v>217</v>
      </c>
      <c r="B229" s="103">
        <f t="shared" si="18"/>
        <v>805.23243451820974</v>
      </c>
      <c r="C229" s="103">
        <f t="shared" si="19"/>
        <v>362.76028971646969</v>
      </c>
      <c r="D229" s="103">
        <f t="shared" si="20"/>
        <v>442.47214480174006</v>
      </c>
      <c r="E229" s="103">
        <f t="shared" si="21"/>
        <v>86619.997387150986</v>
      </c>
      <c r="F229" s="6"/>
      <c r="G229" s="2">
        <v>217</v>
      </c>
      <c r="H229" s="101">
        <v>805.23243451820974</v>
      </c>
      <c r="I229" s="101">
        <v>362.76028971646969</v>
      </c>
      <c r="J229" s="101">
        <v>442.47214480174006</v>
      </c>
      <c r="K229" s="101">
        <v>86619.997387150986</v>
      </c>
      <c r="L229" s="17"/>
    </row>
    <row r="230" spans="1:12" x14ac:dyDescent="0.35">
      <c r="A230" s="24">
        <v>218</v>
      </c>
      <c r="B230" s="103">
        <f t="shared" si="18"/>
        <v>805.23243451820974</v>
      </c>
      <c r="C230" s="103">
        <f t="shared" si="19"/>
        <v>360.9166557797958</v>
      </c>
      <c r="D230" s="103">
        <f t="shared" si="20"/>
        <v>444.31577873841394</v>
      </c>
      <c r="E230" s="103">
        <f t="shared" si="21"/>
        <v>86175.681608412575</v>
      </c>
      <c r="F230" s="6"/>
      <c r="G230" s="2">
        <v>218</v>
      </c>
      <c r="H230" s="101">
        <v>805.23243451820974</v>
      </c>
      <c r="I230" s="101">
        <v>360.9166557797958</v>
      </c>
      <c r="J230" s="101">
        <v>444.31577873841394</v>
      </c>
      <c r="K230" s="101">
        <v>86175.681608412575</v>
      </c>
      <c r="L230" s="17"/>
    </row>
    <row r="231" spans="1:12" x14ac:dyDescent="0.35">
      <c r="A231" s="24">
        <v>219</v>
      </c>
      <c r="B231" s="103">
        <f t="shared" si="18"/>
        <v>805.23243451820974</v>
      </c>
      <c r="C231" s="103">
        <f t="shared" si="19"/>
        <v>359.06534003505243</v>
      </c>
      <c r="D231" s="103">
        <f t="shared" si="20"/>
        <v>446.16709448315731</v>
      </c>
      <c r="E231" s="103">
        <f t="shared" si="21"/>
        <v>85729.514513929418</v>
      </c>
      <c r="F231" s="6"/>
      <c r="G231" s="2">
        <v>219</v>
      </c>
      <c r="H231" s="101">
        <v>805.23243451820974</v>
      </c>
      <c r="I231" s="101">
        <v>359.06534003505243</v>
      </c>
      <c r="J231" s="101">
        <v>446.16709448315731</v>
      </c>
      <c r="K231" s="101">
        <v>85729.514513929418</v>
      </c>
      <c r="L231" s="17"/>
    </row>
    <row r="232" spans="1:12" x14ac:dyDescent="0.35">
      <c r="A232" s="24">
        <v>220</v>
      </c>
      <c r="B232" s="103">
        <f t="shared" si="18"/>
        <v>805.23243451820974</v>
      </c>
      <c r="C232" s="103">
        <f t="shared" si="19"/>
        <v>357.20631047470596</v>
      </c>
      <c r="D232" s="103">
        <f t="shared" si="20"/>
        <v>448.02612404350378</v>
      </c>
      <c r="E232" s="103">
        <f t="shared" si="21"/>
        <v>85281.488389885912</v>
      </c>
      <c r="F232" s="6"/>
      <c r="G232" s="2">
        <v>220</v>
      </c>
      <c r="H232" s="101">
        <v>805.23243451820974</v>
      </c>
      <c r="I232" s="101">
        <v>357.2063104747059</v>
      </c>
      <c r="J232" s="101">
        <v>448.02612404350384</v>
      </c>
      <c r="K232" s="101">
        <v>85281.488389885912</v>
      </c>
      <c r="L232" s="17"/>
    </row>
    <row r="233" spans="1:12" x14ac:dyDescent="0.35">
      <c r="A233" s="24">
        <v>221</v>
      </c>
      <c r="B233" s="103">
        <f t="shared" si="18"/>
        <v>805.23243451820974</v>
      </c>
      <c r="C233" s="103">
        <f t="shared" si="19"/>
        <v>355.33953495785795</v>
      </c>
      <c r="D233" s="103">
        <f t="shared" si="20"/>
        <v>449.89289956035179</v>
      </c>
      <c r="E233" s="103">
        <f t="shared" si="21"/>
        <v>84831.595490325562</v>
      </c>
      <c r="F233" s="6"/>
      <c r="G233" s="2">
        <v>221</v>
      </c>
      <c r="H233" s="101">
        <v>805.23243451820974</v>
      </c>
      <c r="I233" s="101">
        <v>355.33953495785801</v>
      </c>
      <c r="J233" s="101">
        <v>449.89289956035174</v>
      </c>
      <c r="K233" s="101">
        <v>84831.595490325562</v>
      </c>
      <c r="L233" s="17"/>
    </row>
    <row r="234" spans="1:12" x14ac:dyDescent="0.35">
      <c r="A234" s="24">
        <v>222</v>
      </c>
      <c r="B234" s="103">
        <f t="shared" si="18"/>
        <v>805.23243451820974</v>
      </c>
      <c r="C234" s="103">
        <f t="shared" si="19"/>
        <v>353.46498120968982</v>
      </c>
      <c r="D234" s="103">
        <f t="shared" si="20"/>
        <v>451.76745330851992</v>
      </c>
      <c r="E234" s="103">
        <f t="shared" si="21"/>
        <v>84379.82803701704</v>
      </c>
      <c r="F234" s="6"/>
      <c r="G234" s="2">
        <v>222</v>
      </c>
      <c r="H234" s="101">
        <v>805.23243451820974</v>
      </c>
      <c r="I234" s="101">
        <v>353.46498120968988</v>
      </c>
      <c r="J234" s="101">
        <v>451.76745330851986</v>
      </c>
      <c r="K234" s="101">
        <v>84379.82803701704</v>
      </c>
      <c r="L234" s="17"/>
    </row>
    <row r="235" spans="1:12" x14ac:dyDescent="0.35">
      <c r="A235" s="24">
        <v>223</v>
      </c>
      <c r="B235" s="103">
        <f t="shared" si="18"/>
        <v>805.23243451820974</v>
      </c>
      <c r="C235" s="103">
        <f t="shared" si="19"/>
        <v>351.58261682090438</v>
      </c>
      <c r="D235" s="103">
        <f t="shared" si="20"/>
        <v>453.64981769730537</v>
      </c>
      <c r="E235" s="103">
        <f t="shared" si="21"/>
        <v>83926.178219319729</v>
      </c>
      <c r="F235" s="6"/>
      <c r="G235" s="2">
        <v>223</v>
      </c>
      <c r="H235" s="101">
        <v>805.23243451820974</v>
      </c>
      <c r="I235" s="101">
        <v>351.58261682090438</v>
      </c>
      <c r="J235" s="101">
        <v>453.64981769730537</v>
      </c>
      <c r="K235" s="101">
        <v>83926.178219319729</v>
      </c>
      <c r="L235" s="17"/>
    </row>
    <row r="236" spans="1:12" x14ac:dyDescent="0.35">
      <c r="A236" s="24">
        <v>224</v>
      </c>
      <c r="B236" s="103">
        <f t="shared" si="18"/>
        <v>805.23243451820974</v>
      </c>
      <c r="C236" s="103">
        <f t="shared" si="19"/>
        <v>349.69240924716559</v>
      </c>
      <c r="D236" s="103">
        <f t="shared" si="20"/>
        <v>455.54002527104416</v>
      </c>
      <c r="E236" s="103">
        <f t="shared" si="21"/>
        <v>83470.63819404869</v>
      </c>
      <c r="F236" s="6"/>
      <c r="G236" s="2">
        <v>224</v>
      </c>
      <c r="H236" s="101">
        <v>805.23243451820974</v>
      </c>
      <c r="I236" s="101">
        <v>349.69240924716553</v>
      </c>
      <c r="J236" s="101">
        <v>455.54002527104421</v>
      </c>
      <c r="K236" s="101">
        <v>83470.63819404869</v>
      </c>
      <c r="L236" s="17"/>
    </row>
    <row r="237" spans="1:12" x14ac:dyDescent="0.35">
      <c r="A237" s="24">
        <v>225</v>
      </c>
      <c r="B237" s="103">
        <f t="shared" si="18"/>
        <v>805.23243451820974</v>
      </c>
      <c r="C237" s="103">
        <f t="shared" si="19"/>
        <v>347.79432580853626</v>
      </c>
      <c r="D237" s="103">
        <f t="shared" si="20"/>
        <v>457.43810870967349</v>
      </c>
      <c r="E237" s="103">
        <f t="shared" si="21"/>
        <v>83013.20008533902</v>
      </c>
      <c r="F237" s="6"/>
      <c r="G237" s="2">
        <v>225</v>
      </c>
      <c r="H237" s="101">
        <v>805.23243451820974</v>
      </c>
      <c r="I237" s="101">
        <v>347.7943258085362</v>
      </c>
      <c r="J237" s="101">
        <v>457.43810870967354</v>
      </c>
      <c r="K237" s="101">
        <v>83013.20008533902</v>
      </c>
      <c r="L237" s="17"/>
    </row>
    <row r="238" spans="1:12" x14ac:dyDescent="0.35">
      <c r="A238" s="24">
        <v>226</v>
      </c>
      <c r="B238" s="103">
        <f t="shared" si="18"/>
        <v>805.23243451820974</v>
      </c>
      <c r="C238" s="103">
        <f t="shared" si="19"/>
        <v>345.88833368891261</v>
      </c>
      <c r="D238" s="103">
        <f t="shared" si="20"/>
        <v>459.34410082929713</v>
      </c>
      <c r="E238" s="103">
        <f t="shared" si="21"/>
        <v>82553.855984509719</v>
      </c>
      <c r="F238" s="6"/>
      <c r="G238" s="2">
        <v>226</v>
      </c>
      <c r="H238" s="101">
        <v>805.23243451820974</v>
      </c>
      <c r="I238" s="101">
        <v>345.88833368891261</v>
      </c>
      <c r="J238" s="101">
        <v>459.34410082929713</v>
      </c>
      <c r="K238" s="101">
        <v>82553.855984509719</v>
      </c>
      <c r="L238" s="17"/>
    </row>
    <row r="239" spans="1:12" x14ac:dyDescent="0.35">
      <c r="A239" s="24">
        <v>227</v>
      </c>
      <c r="B239" s="103">
        <f t="shared" si="18"/>
        <v>805.23243451820974</v>
      </c>
      <c r="C239" s="103">
        <f t="shared" si="19"/>
        <v>343.97439993545714</v>
      </c>
      <c r="D239" s="103">
        <f t="shared" si="20"/>
        <v>461.2580345827526</v>
      </c>
      <c r="E239" s="103">
        <f t="shared" si="21"/>
        <v>82092.59794992696</v>
      </c>
      <c r="F239" s="6"/>
      <c r="G239" s="2">
        <v>227</v>
      </c>
      <c r="H239" s="101">
        <v>805.23243451820974</v>
      </c>
      <c r="I239" s="101">
        <v>343.9743999354572</v>
      </c>
      <c r="J239" s="101">
        <v>461.25803458275254</v>
      </c>
      <c r="K239" s="101">
        <v>82092.59794992696</v>
      </c>
      <c r="L239" s="17"/>
    </row>
    <row r="240" spans="1:12" x14ac:dyDescent="0.35">
      <c r="A240" s="24">
        <v>228</v>
      </c>
      <c r="B240" s="103">
        <f t="shared" si="18"/>
        <v>805.23243451820974</v>
      </c>
      <c r="C240" s="103">
        <f t="shared" si="19"/>
        <v>342.05249145802901</v>
      </c>
      <c r="D240" s="103">
        <f t="shared" si="20"/>
        <v>463.17994306018073</v>
      </c>
      <c r="E240" s="103">
        <f t="shared" si="21"/>
        <v>81629.418006866777</v>
      </c>
      <c r="F240" s="6"/>
      <c r="G240" s="2">
        <v>228</v>
      </c>
      <c r="H240" s="101">
        <v>805.23243451820974</v>
      </c>
      <c r="I240" s="101">
        <v>342.05249145802901</v>
      </c>
      <c r="J240" s="101">
        <v>463.17994306018073</v>
      </c>
      <c r="K240" s="101">
        <v>81629.418006866777</v>
      </c>
      <c r="L240" s="17"/>
    </row>
    <row r="241" spans="1:12" x14ac:dyDescent="0.35">
      <c r="A241" s="24">
        <v>229</v>
      </c>
      <c r="B241" s="103">
        <f t="shared" si="18"/>
        <v>805.23243451820974</v>
      </c>
      <c r="C241" s="103">
        <f t="shared" si="19"/>
        <v>340.12257502861161</v>
      </c>
      <c r="D241" s="103">
        <f t="shared" si="20"/>
        <v>465.10985948959814</v>
      </c>
      <c r="E241" s="103">
        <f t="shared" si="21"/>
        <v>81164.308147377174</v>
      </c>
      <c r="F241" s="6"/>
      <c r="G241" s="2">
        <v>229</v>
      </c>
      <c r="H241" s="101">
        <v>805.23243451820974</v>
      </c>
      <c r="I241" s="101">
        <v>340.12257502861161</v>
      </c>
      <c r="J241" s="101">
        <v>465.10985948959814</v>
      </c>
      <c r="K241" s="101">
        <v>81164.308147377174</v>
      </c>
      <c r="L241" s="17"/>
    </row>
    <row r="242" spans="1:12" x14ac:dyDescent="0.35">
      <c r="A242" s="24">
        <v>230</v>
      </c>
      <c r="B242" s="103">
        <f t="shared" si="18"/>
        <v>805.23243451820974</v>
      </c>
      <c r="C242" s="103">
        <f t="shared" si="19"/>
        <v>338.18461728073822</v>
      </c>
      <c r="D242" s="103">
        <f t="shared" si="20"/>
        <v>467.04781723747152</v>
      </c>
      <c r="E242" s="103">
        <f t="shared" si="21"/>
        <v>80697.260330139703</v>
      </c>
      <c r="F242" s="6"/>
      <c r="G242" s="2">
        <v>230</v>
      </c>
      <c r="H242" s="101">
        <v>805.23243451820974</v>
      </c>
      <c r="I242" s="101">
        <v>338.18461728073822</v>
      </c>
      <c r="J242" s="101">
        <v>467.04781723747152</v>
      </c>
      <c r="K242" s="101">
        <v>80697.260330139703</v>
      </c>
      <c r="L242" s="17"/>
    </row>
    <row r="243" spans="1:12" x14ac:dyDescent="0.35">
      <c r="A243" s="24">
        <v>231</v>
      </c>
      <c r="B243" s="103">
        <f t="shared" si="18"/>
        <v>805.23243451820974</v>
      </c>
      <c r="C243" s="103">
        <f t="shared" si="19"/>
        <v>336.23858470891543</v>
      </c>
      <c r="D243" s="103">
        <f t="shared" si="20"/>
        <v>468.99384980929432</v>
      </c>
      <c r="E243" s="103">
        <f t="shared" si="21"/>
        <v>80228.266480330407</v>
      </c>
      <c r="F243" s="6"/>
      <c r="G243" s="2">
        <v>231</v>
      </c>
      <c r="H243" s="101">
        <v>805.23243451820974</v>
      </c>
      <c r="I243" s="101">
        <v>336.23858470891543</v>
      </c>
      <c r="J243" s="101">
        <v>468.99384980929432</v>
      </c>
      <c r="K243" s="101">
        <v>80228.266480330407</v>
      </c>
      <c r="L243" s="17"/>
    </row>
    <row r="244" spans="1:12" x14ac:dyDescent="0.35">
      <c r="A244" s="24">
        <v>232</v>
      </c>
      <c r="B244" s="103">
        <f t="shared" si="18"/>
        <v>805.23243451820974</v>
      </c>
      <c r="C244" s="103">
        <f t="shared" si="19"/>
        <v>334.28444366804337</v>
      </c>
      <c r="D244" s="103">
        <f t="shared" si="20"/>
        <v>470.94799085016638</v>
      </c>
      <c r="E244" s="103">
        <f t="shared" si="21"/>
        <v>79757.31848948024</v>
      </c>
      <c r="F244" s="6"/>
      <c r="G244" s="2">
        <v>232</v>
      </c>
      <c r="H244" s="101">
        <v>805.23243451820974</v>
      </c>
      <c r="I244" s="101">
        <v>334.28444366804337</v>
      </c>
      <c r="J244" s="101">
        <v>470.94799085016638</v>
      </c>
      <c r="K244" s="101">
        <v>79757.31848948024</v>
      </c>
      <c r="L244" s="17"/>
    </row>
    <row r="245" spans="1:12" x14ac:dyDescent="0.35">
      <c r="A245" s="24">
        <v>233</v>
      </c>
      <c r="B245" s="103">
        <f t="shared" si="18"/>
        <v>805.23243451820974</v>
      </c>
      <c r="C245" s="103">
        <f t="shared" si="19"/>
        <v>332.32216037283433</v>
      </c>
      <c r="D245" s="103">
        <f t="shared" si="20"/>
        <v>472.91027414537541</v>
      </c>
      <c r="E245" s="103">
        <f t="shared" si="21"/>
        <v>79284.408215334857</v>
      </c>
      <c r="F245" s="6"/>
      <c r="G245" s="2">
        <v>233</v>
      </c>
      <c r="H245" s="101">
        <v>805.23243451820974</v>
      </c>
      <c r="I245" s="101">
        <v>332.32216037283433</v>
      </c>
      <c r="J245" s="101">
        <v>472.91027414537541</v>
      </c>
      <c r="K245" s="101">
        <v>79284.408215334857</v>
      </c>
      <c r="L245" s="17"/>
    </row>
    <row r="246" spans="1:12" x14ac:dyDescent="0.35">
      <c r="A246" s="24">
        <v>234</v>
      </c>
      <c r="B246" s="103">
        <f t="shared" si="18"/>
        <v>805.23243451820974</v>
      </c>
      <c r="C246" s="103">
        <f t="shared" si="19"/>
        <v>330.35170089722857</v>
      </c>
      <c r="D246" s="103">
        <f t="shared" si="20"/>
        <v>474.88073362098118</v>
      </c>
      <c r="E246" s="103">
        <f t="shared" si="21"/>
        <v>78809.527481713871</v>
      </c>
      <c r="F246" s="6"/>
      <c r="G246" s="2">
        <v>234</v>
      </c>
      <c r="H246" s="101">
        <v>805.23243451820974</v>
      </c>
      <c r="I246" s="101">
        <v>330.35170089722857</v>
      </c>
      <c r="J246" s="101">
        <v>474.88073362098118</v>
      </c>
      <c r="K246" s="101">
        <v>78809.527481713871</v>
      </c>
      <c r="L246" s="17"/>
    </row>
    <row r="247" spans="1:12" x14ac:dyDescent="0.35">
      <c r="A247" s="24">
        <v>235</v>
      </c>
      <c r="B247" s="103">
        <f t="shared" si="18"/>
        <v>805.23243451820974</v>
      </c>
      <c r="C247" s="103">
        <f t="shared" si="19"/>
        <v>328.37303117380782</v>
      </c>
      <c r="D247" s="103">
        <f t="shared" si="20"/>
        <v>476.85940334440193</v>
      </c>
      <c r="E247" s="103">
        <f t="shared" si="21"/>
        <v>78332.668078369476</v>
      </c>
      <c r="F247" s="6"/>
      <c r="G247" s="2">
        <v>235</v>
      </c>
      <c r="H247" s="101">
        <v>805.23243451820974</v>
      </c>
      <c r="I247" s="101">
        <v>328.37303117380782</v>
      </c>
      <c r="J247" s="101">
        <v>476.85940334440193</v>
      </c>
      <c r="K247" s="101">
        <v>78332.668078369476</v>
      </c>
      <c r="L247" s="17"/>
    </row>
    <row r="248" spans="1:12" x14ac:dyDescent="0.35">
      <c r="A248" s="24">
        <v>236</v>
      </c>
      <c r="B248" s="103">
        <f t="shared" si="18"/>
        <v>805.23243451820974</v>
      </c>
      <c r="C248" s="103">
        <f t="shared" si="19"/>
        <v>326.38611699320614</v>
      </c>
      <c r="D248" s="103">
        <f t="shared" si="20"/>
        <v>478.8463175250036</v>
      </c>
      <c r="E248" s="103">
        <f t="shared" si="21"/>
        <v>77853.821760844468</v>
      </c>
      <c r="F248" s="6"/>
      <c r="G248" s="2">
        <v>236</v>
      </c>
      <c r="H248" s="101">
        <v>805.23243451820974</v>
      </c>
      <c r="I248" s="101">
        <v>326.38611699320614</v>
      </c>
      <c r="J248" s="101">
        <v>478.8463175250036</v>
      </c>
      <c r="K248" s="101">
        <v>77853.821760844468</v>
      </c>
      <c r="L248" s="17"/>
    </row>
    <row r="249" spans="1:12" x14ac:dyDescent="0.35">
      <c r="A249" s="24">
        <v>237</v>
      </c>
      <c r="B249" s="103">
        <f t="shared" si="18"/>
        <v>805.23243451820974</v>
      </c>
      <c r="C249" s="103">
        <f t="shared" si="19"/>
        <v>324.39092400351865</v>
      </c>
      <c r="D249" s="103">
        <f t="shared" si="20"/>
        <v>480.84151051469109</v>
      </c>
      <c r="E249" s="103">
        <f t="shared" si="21"/>
        <v>77372.980250329783</v>
      </c>
      <c r="F249" s="6"/>
      <c r="G249" s="2">
        <v>237</v>
      </c>
      <c r="H249" s="101">
        <v>805.23243451820974</v>
      </c>
      <c r="I249" s="101">
        <v>324.39092400351865</v>
      </c>
      <c r="J249" s="101">
        <v>480.84151051469109</v>
      </c>
      <c r="K249" s="101">
        <v>77372.980250329783</v>
      </c>
      <c r="L249" s="17"/>
    </row>
    <row r="250" spans="1:12" x14ac:dyDescent="0.35">
      <c r="A250" s="24">
        <v>238</v>
      </c>
      <c r="B250" s="103">
        <f t="shared" si="18"/>
        <v>805.23243451820974</v>
      </c>
      <c r="C250" s="103">
        <f t="shared" si="19"/>
        <v>322.38741770970745</v>
      </c>
      <c r="D250" s="103">
        <f t="shared" si="20"/>
        <v>482.84501680850229</v>
      </c>
      <c r="E250" s="103">
        <f t="shared" si="21"/>
        <v>76890.135233521287</v>
      </c>
      <c r="F250" s="6"/>
      <c r="G250" s="2">
        <v>238</v>
      </c>
      <c r="H250" s="101">
        <v>805.23243451820974</v>
      </c>
      <c r="I250" s="101">
        <v>322.38741770970745</v>
      </c>
      <c r="J250" s="101">
        <v>482.84501680850229</v>
      </c>
      <c r="K250" s="101">
        <v>76890.135233521287</v>
      </c>
      <c r="L250" s="17"/>
    </row>
    <row r="251" spans="1:12" x14ac:dyDescent="0.35">
      <c r="A251" s="24">
        <v>239</v>
      </c>
      <c r="B251" s="103">
        <f t="shared" si="18"/>
        <v>805.23243451820974</v>
      </c>
      <c r="C251" s="103">
        <f t="shared" si="19"/>
        <v>320.37556347300534</v>
      </c>
      <c r="D251" s="103">
        <f t="shared" si="20"/>
        <v>484.8568710452044</v>
      </c>
      <c r="E251" s="103">
        <f t="shared" si="21"/>
        <v>76405.278362476078</v>
      </c>
      <c r="F251" s="6"/>
      <c r="G251" s="2">
        <v>239</v>
      </c>
      <c r="H251" s="101">
        <v>805.23243451820974</v>
      </c>
      <c r="I251" s="101">
        <v>320.3755634730054</v>
      </c>
      <c r="J251" s="101">
        <v>484.85687104520434</v>
      </c>
      <c r="K251" s="101">
        <v>76405.278362476078</v>
      </c>
      <c r="L251" s="17"/>
    </row>
    <row r="252" spans="1:12" x14ac:dyDescent="0.35">
      <c r="A252" s="24">
        <v>240</v>
      </c>
      <c r="B252" s="103">
        <f t="shared" si="18"/>
        <v>805.23243451820974</v>
      </c>
      <c r="C252" s="103">
        <f t="shared" si="19"/>
        <v>318.35532651031701</v>
      </c>
      <c r="D252" s="103">
        <f t="shared" si="20"/>
        <v>486.87710800789273</v>
      </c>
      <c r="E252" s="103">
        <f t="shared" si="21"/>
        <v>75918.40125446819</v>
      </c>
      <c r="F252" s="6"/>
      <c r="G252" s="2">
        <v>240</v>
      </c>
      <c r="H252" s="101">
        <v>805.23243451820974</v>
      </c>
      <c r="I252" s="101">
        <v>318.35532651031701</v>
      </c>
      <c r="J252" s="101">
        <v>486.87710800789273</v>
      </c>
      <c r="K252" s="101">
        <v>75918.40125446819</v>
      </c>
      <c r="L252" s="17"/>
    </row>
    <row r="253" spans="1:12" x14ac:dyDescent="0.35">
      <c r="A253" s="24">
        <v>241</v>
      </c>
      <c r="B253" s="103">
        <f t="shared" si="18"/>
        <v>805.23243451820974</v>
      </c>
      <c r="C253" s="103">
        <f t="shared" si="19"/>
        <v>316.32667189361746</v>
      </c>
      <c r="D253" s="103">
        <f t="shared" si="20"/>
        <v>488.90576262459228</v>
      </c>
      <c r="E253" s="103">
        <f t="shared" si="21"/>
        <v>75429.495491843598</v>
      </c>
      <c r="F253" s="6"/>
      <c r="G253" s="2">
        <v>241</v>
      </c>
      <c r="H253" s="101">
        <v>805.23243451820974</v>
      </c>
      <c r="I253" s="101">
        <v>316.32667189361746</v>
      </c>
      <c r="J253" s="101">
        <v>488.90576262459228</v>
      </c>
      <c r="K253" s="101">
        <v>75429.495491843598</v>
      </c>
      <c r="L253" s="17"/>
    </row>
    <row r="254" spans="1:12" x14ac:dyDescent="0.35">
      <c r="A254" s="24">
        <v>242</v>
      </c>
      <c r="B254" s="103">
        <f t="shared" si="18"/>
        <v>805.23243451820974</v>
      </c>
      <c r="C254" s="103">
        <f t="shared" si="19"/>
        <v>314.28956454934831</v>
      </c>
      <c r="D254" s="103">
        <f t="shared" si="20"/>
        <v>490.94286996886143</v>
      </c>
      <c r="E254" s="103">
        <f t="shared" si="21"/>
        <v>74938.55262187474</v>
      </c>
      <c r="F254" s="6"/>
      <c r="G254" s="2">
        <v>242</v>
      </c>
      <c r="H254" s="101">
        <v>805.23243451820974</v>
      </c>
      <c r="I254" s="101">
        <v>314.28956454934837</v>
      </c>
      <c r="J254" s="101">
        <v>490.94286996886137</v>
      </c>
      <c r="K254" s="101">
        <v>74938.55262187474</v>
      </c>
      <c r="L254" s="17"/>
    </row>
    <row r="255" spans="1:12" x14ac:dyDescent="0.35">
      <c r="A255" s="24">
        <v>243</v>
      </c>
      <c r="B255" s="103">
        <f t="shared" si="18"/>
        <v>805.23243451820974</v>
      </c>
      <c r="C255" s="103">
        <f t="shared" si="19"/>
        <v>312.24396925781144</v>
      </c>
      <c r="D255" s="103">
        <f t="shared" si="20"/>
        <v>492.9884652603983</v>
      </c>
      <c r="E255" s="103">
        <f t="shared" si="21"/>
        <v>74445.564156614346</v>
      </c>
      <c r="F255" s="6"/>
      <c r="G255" s="2">
        <v>243</v>
      </c>
      <c r="H255" s="101">
        <v>805.23243451820974</v>
      </c>
      <c r="I255" s="101">
        <v>312.24396925781144</v>
      </c>
      <c r="J255" s="101">
        <v>492.9884652603983</v>
      </c>
      <c r="K255" s="101">
        <v>74445.564156614346</v>
      </c>
      <c r="L255" s="17"/>
    </row>
    <row r="256" spans="1:12" x14ac:dyDescent="0.35">
      <c r="A256" s="24">
        <v>244</v>
      </c>
      <c r="B256" s="103">
        <f t="shared" si="18"/>
        <v>805.23243451820974</v>
      </c>
      <c r="C256" s="103">
        <f t="shared" si="19"/>
        <v>310.18985065255976</v>
      </c>
      <c r="D256" s="103">
        <f t="shared" si="20"/>
        <v>495.04258386564999</v>
      </c>
      <c r="E256" s="103">
        <f t="shared" si="21"/>
        <v>73950.521572748694</v>
      </c>
      <c r="F256" s="6"/>
      <c r="G256" s="2">
        <v>244</v>
      </c>
      <c r="H256" s="101">
        <v>805.23243451820974</v>
      </c>
      <c r="I256" s="101">
        <v>310.18985065255981</v>
      </c>
      <c r="J256" s="101">
        <v>495.04258386564993</v>
      </c>
      <c r="K256" s="101">
        <v>73950.521572748694</v>
      </c>
      <c r="L256" s="17"/>
    </row>
    <row r="257" spans="1:12" x14ac:dyDescent="0.35">
      <c r="A257" s="24">
        <v>245</v>
      </c>
      <c r="B257" s="103">
        <f t="shared" si="18"/>
        <v>805.23243451820974</v>
      </c>
      <c r="C257" s="103">
        <f t="shared" si="19"/>
        <v>308.12717321978624</v>
      </c>
      <c r="D257" s="103">
        <f t="shared" si="20"/>
        <v>497.1052612984235</v>
      </c>
      <c r="E257" s="103">
        <f t="shared" si="21"/>
        <v>73453.416311450273</v>
      </c>
      <c r="F257" s="6"/>
      <c r="G257" s="2">
        <v>245</v>
      </c>
      <c r="H257" s="101">
        <v>805.23243451820974</v>
      </c>
      <c r="I257" s="101">
        <v>308.12717321978624</v>
      </c>
      <c r="J257" s="101">
        <v>497.1052612984235</v>
      </c>
      <c r="K257" s="101">
        <v>73453.416311450273</v>
      </c>
      <c r="L257" s="17"/>
    </row>
    <row r="258" spans="1:12" x14ac:dyDescent="0.35">
      <c r="A258" s="24">
        <v>246</v>
      </c>
      <c r="B258" s="103">
        <f t="shared" si="18"/>
        <v>805.23243451820974</v>
      </c>
      <c r="C258" s="103">
        <f t="shared" si="19"/>
        <v>306.05590129770945</v>
      </c>
      <c r="D258" s="103">
        <f t="shared" si="20"/>
        <v>499.17653322050029</v>
      </c>
      <c r="E258" s="103">
        <f t="shared" si="21"/>
        <v>72954.239778229778</v>
      </c>
      <c r="F258" s="6"/>
      <c r="G258" s="2">
        <v>246</v>
      </c>
      <c r="H258" s="101">
        <v>805.23243451820974</v>
      </c>
      <c r="I258" s="101">
        <v>306.05590129770951</v>
      </c>
      <c r="J258" s="101">
        <v>499.17653322050023</v>
      </c>
      <c r="K258" s="101">
        <v>72954.239778229778</v>
      </c>
      <c r="L258" s="17"/>
    </row>
    <row r="259" spans="1:12" x14ac:dyDescent="0.35">
      <c r="A259" s="24">
        <v>247</v>
      </c>
      <c r="B259" s="103">
        <f t="shared" si="18"/>
        <v>805.23243451820974</v>
      </c>
      <c r="C259" s="103">
        <f t="shared" si="19"/>
        <v>303.97599907595742</v>
      </c>
      <c r="D259" s="103">
        <f t="shared" si="20"/>
        <v>501.25643544225233</v>
      </c>
      <c r="E259" s="103">
        <f t="shared" si="21"/>
        <v>72452.983342787527</v>
      </c>
      <c r="F259" s="6"/>
      <c r="G259" s="2">
        <v>247</v>
      </c>
      <c r="H259" s="101">
        <v>805.23243451820974</v>
      </c>
      <c r="I259" s="101">
        <v>303.97599907595742</v>
      </c>
      <c r="J259" s="101">
        <v>501.25643544225233</v>
      </c>
      <c r="K259" s="101">
        <v>72452.983342787527</v>
      </c>
      <c r="L259" s="17"/>
    </row>
    <row r="260" spans="1:12" x14ac:dyDescent="0.35">
      <c r="A260" s="24">
        <v>248</v>
      </c>
      <c r="B260" s="103">
        <f t="shared" si="18"/>
        <v>805.23243451820974</v>
      </c>
      <c r="C260" s="103">
        <f t="shared" si="19"/>
        <v>301.88743059494806</v>
      </c>
      <c r="D260" s="103">
        <f t="shared" si="20"/>
        <v>503.34500392326169</v>
      </c>
      <c r="E260" s="103">
        <f t="shared" si="21"/>
        <v>71949.638338864272</v>
      </c>
      <c r="F260" s="6"/>
      <c r="G260" s="2">
        <v>248</v>
      </c>
      <c r="H260" s="101">
        <v>805.23243451820974</v>
      </c>
      <c r="I260" s="101">
        <v>301.88743059494806</v>
      </c>
      <c r="J260" s="101">
        <v>503.34500392326169</v>
      </c>
      <c r="K260" s="101">
        <v>71949.638338864272</v>
      </c>
      <c r="L260" s="17"/>
    </row>
    <row r="261" spans="1:12" x14ac:dyDescent="0.35">
      <c r="A261" s="24">
        <v>249</v>
      </c>
      <c r="B261" s="103">
        <f t="shared" si="18"/>
        <v>805.23243451820974</v>
      </c>
      <c r="C261" s="103">
        <f t="shared" si="19"/>
        <v>299.79015974526783</v>
      </c>
      <c r="D261" s="103">
        <f t="shared" si="20"/>
        <v>505.44227477294191</v>
      </c>
      <c r="E261" s="103">
        <f t="shared" si="21"/>
        <v>71444.196064091331</v>
      </c>
      <c r="F261" s="6"/>
      <c r="G261" s="2">
        <v>249</v>
      </c>
      <c r="H261" s="101">
        <v>805.23243451820974</v>
      </c>
      <c r="I261" s="101">
        <v>299.79015974526783</v>
      </c>
      <c r="J261" s="101">
        <v>505.44227477294191</v>
      </c>
      <c r="K261" s="101">
        <v>71444.196064091331</v>
      </c>
      <c r="L261" s="17"/>
    </row>
    <row r="262" spans="1:12" x14ac:dyDescent="0.35">
      <c r="A262" s="24">
        <v>250</v>
      </c>
      <c r="B262" s="103">
        <f t="shared" si="18"/>
        <v>805.23243451820974</v>
      </c>
      <c r="C262" s="103">
        <f t="shared" si="19"/>
        <v>297.68415026704724</v>
      </c>
      <c r="D262" s="103">
        <f t="shared" si="20"/>
        <v>507.5482842511625</v>
      </c>
      <c r="E262" s="103">
        <f t="shared" si="21"/>
        <v>70936.647779840176</v>
      </c>
      <c r="F262" s="6"/>
      <c r="G262" s="2">
        <v>250</v>
      </c>
      <c r="H262" s="101">
        <v>805.23243451820974</v>
      </c>
      <c r="I262" s="101">
        <v>297.68415026704724</v>
      </c>
      <c r="J262" s="101">
        <v>507.5482842511625</v>
      </c>
      <c r="K262" s="101">
        <v>70936.647779840176</v>
      </c>
      <c r="L262" s="17"/>
    </row>
    <row r="263" spans="1:12" x14ac:dyDescent="0.35">
      <c r="A263" s="24">
        <v>251</v>
      </c>
      <c r="B263" s="103">
        <f t="shared" si="18"/>
        <v>805.23243451820974</v>
      </c>
      <c r="C263" s="103">
        <f t="shared" si="19"/>
        <v>295.56936574933405</v>
      </c>
      <c r="D263" s="103">
        <f t="shared" si="20"/>
        <v>509.66306876887569</v>
      </c>
      <c r="E263" s="103">
        <f t="shared" si="21"/>
        <v>70426.984711071302</v>
      </c>
      <c r="F263" s="6"/>
      <c r="G263" s="2">
        <v>251</v>
      </c>
      <c r="H263" s="101">
        <v>805.23243451820974</v>
      </c>
      <c r="I263" s="101">
        <v>295.56936574933405</v>
      </c>
      <c r="J263" s="101">
        <v>509.66306876887569</v>
      </c>
      <c r="K263" s="101">
        <v>70426.984711071302</v>
      </c>
      <c r="L263" s="17"/>
    </row>
    <row r="264" spans="1:12" x14ac:dyDescent="0.35">
      <c r="A264" s="24">
        <v>252</v>
      </c>
      <c r="B264" s="103">
        <f t="shared" si="18"/>
        <v>805.23243451820974</v>
      </c>
      <c r="C264" s="103">
        <f t="shared" si="19"/>
        <v>293.44576962946377</v>
      </c>
      <c r="D264" s="103">
        <f t="shared" si="20"/>
        <v>511.78666488874597</v>
      </c>
      <c r="E264" s="103">
        <f t="shared" si="21"/>
        <v>69915.198046182559</v>
      </c>
      <c r="F264" s="6"/>
      <c r="G264" s="2">
        <v>252</v>
      </c>
      <c r="H264" s="101">
        <v>805.23243451820974</v>
      </c>
      <c r="I264" s="101">
        <v>293.44576962946377</v>
      </c>
      <c r="J264" s="101">
        <v>511.78666488874597</v>
      </c>
      <c r="K264" s="101">
        <v>69915.198046182559</v>
      </c>
      <c r="L264" s="17"/>
    </row>
    <row r="265" spans="1:12" x14ac:dyDescent="0.35">
      <c r="A265" s="24">
        <v>253</v>
      </c>
      <c r="B265" s="103">
        <f t="shared" si="18"/>
        <v>805.23243451820974</v>
      </c>
      <c r="C265" s="103">
        <f t="shared" si="19"/>
        <v>291.31332519242733</v>
      </c>
      <c r="D265" s="103">
        <f t="shared" si="20"/>
        <v>513.91910932578241</v>
      </c>
      <c r="E265" s="103">
        <f t="shared" si="21"/>
        <v>69401.278936856776</v>
      </c>
      <c r="F265" s="6"/>
      <c r="G265" s="2">
        <v>253</v>
      </c>
      <c r="H265" s="101">
        <v>805.23243451820974</v>
      </c>
      <c r="I265" s="101">
        <v>291.31332519242733</v>
      </c>
      <c r="J265" s="101">
        <v>513.91910932578241</v>
      </c>
      <c r="K265" s="101">
        <v>69401.278936856776</v>
      </c>
      <c r="L265" s="17"/>
    </row>
    <row r="266" spans="1:12" x14ac:dyDescent="0.35">
      <c r="A266" s="24">
        <v>254</v>
      </c>
      <c r="B266" s="103">
        <f t="shared" si="18"/>
        <v>805.23243451820974</v>
      </c>
      <c r="C266" s="103">
        <f t="shared" si="19"/>
        <v>289.17199557023656</v>
      </c>
      <c r="D266" s="103">
        <f t="shared" si="20"/>
        <v>516.06043894797313</v>
      </c>
      <c r="E266" s="103">
        <f t="shared" si="21"/>
        <v>68885.218497908805</v>
      </c>
      <c r="F266" s="6"/>
      <c r="G266" s="2">
        <v>254</v>
      </c>
      <c r="H266" s="101">
        <v>805.23243451820974</v>
      </c>
      <c r="I266" s="101">
        <v>289.17199557023656</v>
      </c>
      <c r="J266" s="101">
        <v>516.06043894797313</v>
      </c>
      <c r="K266" s="101">
        <v>68885.218497908805</v>
      </c>
      <c r="L266" s="17"/>
    </row>
    <row r="267" spans="1:12" x14ac:dyDescent="0.35">
      <c r="A267" s="24">
        <v>255</v>
      </c>
      <c r="B267" s="103">
        <f t="shared" si="18"/>
        <v>805.23243451820974</v>
      </c>
      <c r="C267" s="103">
        <f t="shared" si="19"/>
        <v>287.02174374128668</v>
      </c>
      <c r="D267" s="103">
        <f t="shared" si="20"/>
        <v>518.210690776923</v>
      </c>
      <c r="E267" s="103">
        <f t="shared" si="21"/>
        <v>68367.007807131886</v>
      </c>
      <c r="F267" s="6"/>
      <c r="G267" s="2">
        <v>255</v>
      </c>
      <c r="H267" s="101">
        <v>805.23243451820974</v>
      </c>
      <c r="I267" s="101">
        <v>287.02174374128668</v>
      </c>
      <c r="J267" s="101">
        <v>518.210690776923</v>
      </c>
      <c r="K267" s="101">
        <v>68367.007807131886</v>
      </c>
      <c r="L267" s="17"/>
    </row>
    <row r="268" spans="1:12" x14ac:dyDescent="0.35">
      <c r="A268" s="24">
        <v>256</v>
      </c>
      <c r="B268" s="103">
        <f t="shared" si="18"/>
        <v>805.23243451820974</v>
      </c>
      <c r="C268" s="103">
        <f t="shared" si="19"/>
        <v>284.86253252971619</v>
      </c>
      <c r="D268" s="103">
        <f t="shared" si="20"/>
        <v>520.36990198849355</v>
      </c>
      <c r="E268" s="103">
        <f t="shared" si="21"/>
        <v>67846.637905143391</v>
      </c>
      <c r="F268" s="6"/>
      <c r="G268" s="2">
        <v>256</v>
      </c>
      <c r="H268" s="101">
        <v>805.23243451820974</v>
      </c>
      <c r="I268" s="101">
        <v>284.86253252971619</v>
      </c>
      <c r="J268" s="101">
        <v>520.36990198849355</v>
      </c>
      <c r="K268" s="101">
        <v>67846.637905143391</v>
      </c>
      <c r="L268" s="17"/>
    </row>
    <row r="269" spans="1:12" x14ac:dyDescent="0.35">
      <c r="A269" s="24">
        <v>257</v>
      </c>
      <c r="B269" s="103">
        <f t="shared" si="18"/>
        <v>805.23243451820974</v>
      </c>
      <c r="C269" s="103">
        <f t="shared" si="19"/>
        <v>282.69432460476418</v>
      </c>
      <c r="D269" s="103">
        <f t="shared" si="20"/>
        <v>522.53810991344562</v>
      </c>
      <c r="E269" s="103">
        <f t="shared" si="21"/>
        <v>67324.099795229951</v>
      </c>
      <c r="F269" s="6"/>
      <c r="G269" s="2">
        <v>257</v>
      </c>
      <c r="H269" s="101">
        <v>805.23243451820974</v>
      </c>
      <c r="I269" s="101">
        <v>282.69432460476412</v>
      </c>
      <c r="J269" s="101">
        <v>522.53810991344562</v>
      </c>
      <c r="K269" s="101">
        <v>67324.099795229951</v>
      </c>
      <c r="L269" s="17"/>
    </row>
    <row r="270" spans="1:12" x14ac:dyDescent="0.35">
      <c r="A270" s="24">
        <v>258</v>
      </c>
      <c r="B270" s="103">
        <f t="shared" ref="B270:B333" si="22">$B$8</f>
        <v>805.23243451820974</v>
      </c>
      <c r="C270" s="103">
        <f t="shared" si="19"/>
        <v>280.51708248012483</v>
      </c>
      <c r="D270" s="103">
        <f t="shared" si="20"/>
        <v>524.71535203808492</v>
      </c>
      <c r="E270" s="103">
        <f t="shared" si="21"/>
        <v>66799.38444319187</v>
      </c>
      <c r="F270" s="6"/>
      <c r="G270" s="2">
        <v>258</v>
      </c>
      <c r="H270" s="101">
        <v>805.23243451820974</v>
      </c>
      <c r="I270" s="101">
        <v>280.51708248012483</v>
      </c>
      <c r="J270" s="101">
        <v>524.71535203808492</v>
      </c>
      <c r="K270" s="101">
        <v>66799.38444319187</v>
      </c>
      <c r="L270" s="17"/>
    </row>
    <row r="271" spans="1:12" x14ac:dyDescent="0.35">
      <c r="A271" s="24">
        <v>259</v>
      </c>
      <c r="B271" s="103">
        <f t="shared" si="22"/>
        <v>805.23243451820974</v>
      </c>
      <c r="C271" s="103">
        <f t="shared" si="19"/>
        <v>278.33076851329946</v>
      </c>
      <c r="D271" s="103">
        <f t="shared" si="20"/>
        <v>526.90166600491034</v>
      </c>
      <c r="E271" s="103">
        <f t="shared" si="21"/>
        <v>66272.48277718696</v>
      </c>
      <c r="F271" s="6"/>
      <c r="G271" s="2">
        <v>259</v>
      </c>
      <c r="H271" s="101">
        <v>805.23243451820974</v>
      </c>
      <c r="I271" s="101">
        <v>278.33076851329946</v>
      </c>
      <c r="J271" s="101">
        <v>526.90166600491034</v>
      </c>
      <c r="K271" s="101">
        <v>66272.48277718696</v>
      </c>
      <c r="L271" s="17"/>
    </row>
    <row r="272" spans="1:12" x14ac:dyDescent="0.35">
      <c r="A272" s="24">
        <v>260</v>
      </c>
      <c r="B272" s="103">
        <f t="shared" si="22"/>
        <v>805.23243451820974</v>
      </c>
      <c r="C272" s="103">
        <f t="shared" si="19"/>
        <v>276.13534490494567</v>
      </c>
      <c r="D272" s="103">
        <f t="shared" si="20"/>
        <v>529.09708961326407</v>
      </c>
      <c r="E272" s="103">
        <f t="shared" si="21"/>
        <v>65743.385687573696</v>
      </c>
      <c r="F272" s="6"/>
      <c r="G272" s="2">
        <v>260</v>
      </c>
      <c r="H272" s="101">
        <v>805.23243451820974</v>
      </c>
      <c r="I272" s="101">
        <v>276.13534490494567</v>
      </c>
      <c r="J272" s="101">
        <v>529.09708961326407</v>
      </c>
      <c r="K272" s="101">
        <v>65743.385687573696</v>
      </c>
      <c r="L272" s="17"/>
    </row>
    <row r="273" spans="1:12" x14ac:dyDescent="0.35">
      <c r="A273" s="24">
        <v>261</v>
      </c>
      <c r="B273" s="103">
        <f t="shared" si="22"/>
        <v>805.23243451820974</v>
      </c>
      <c r="C273" s="103">
        <f t="shared" si="19"/>
        <v>273.93077369822373</v>
      </c>
      <c r="D273" s="103">
        <f t="shared" si="20"/>
        <v>531.30166081998595</v>
      </c>
      <c r="E273" s="103">
        <f t="shared" si="21"/>
        <v>65212.084026753713</v>
      </c>
      <c r="F273" s="6"/>
      <c r="G273" s="2">
        <v>261</v>
      </c>
      <c r="H273" s="101">
        <v>805.23243451820974</v>
      </c>
      <c r="I273" s="101">
        <v>273.93077369822373</v>
      </c>
      <c r="J273" s="101">
        <v>531.30166081998595</v>
      </c>
      <c r="K273" s="101">
        <v>65212.084026753713</v>
      </c>
      <c r="L273" s="17"/>
    </row>
    <row r="274" spans="1:12" x14ac:dyDescent="0.35">
      <c r="A274" s="24">
        <v>262</v>
      </c>
      <c r="B274" s="103">
        <f t="shared" si="22"/>
        <v>805.23243451820974</v>
      </c>
      <c r="C274" s="103">
        <f t="shared" si="19"/>
        <v>271.71701677814048</v>
      </c>
      <c r="D274" s="103">
        <f t="shared" si="20"/>
        <v>533.51541774006932</v>
      </c>
      <c r="E274" s="103">
        <f t="shared" si="21"/>
        <v>64678.568609013644</v>
      </c>
      <c r="F274" s="6"/>
      <c r="G274" s="2">
        <v>262</v>
      </c>
      <c r="H274" s="101">
        <v>805.23243451820974</v>
      </c>
      <c r="I274" s="101">
        <v>271.71701677814048</v>
      </c>
      <c r="J274" s="101">
        <v>533.51541774006932</v>
      </c>
      <c r="K274" s="101">
        <v>64678.568609013644</v>
      </c>
      <c r="L274" s="17"/>
    </row>
    <row r="275" spans="1:12" x14ac:dyDescent="0.35">
      <c r="A275" s="24">
        <v>263</v>
      </c>
      <c r="B275" s="103">
        <f t="shared" si="22"/>
        <v>805.23243451820974</v>
      </c>
      <c r="C275" s="103">
        <f t="shared" si="19"/>
        <v>269.49403587089017</v>
      </c>
      <c r="D275" s="103">
        <f t="shared" si="20"/>
        <v>535.73839864731963</v>
      </c>
      <c r="E275" s="103">
        <f t="shared" si="21"/>
        <v>64142.830210366323</v>
      </c>
      <c r="F275" s="6"/>
      <c r="G275" s="2">
        <v>263</v>
      </c>
      <c r="H275" s="101">
        <v>805.23243451820974</v>
      </c>
      <c r="I275" s="101">
        <v>269.49403587089017</v>
      </c>
      <c r="J275" s="101">
        <v>535.73839864731963</v>
      </c>
      <c r="K275" s="101">
        <v>64142.830210366323</v>
      </c>
      <c r="L275" s="17"/>
    </row>
    <row r="276" spans="1:12" x14ac:dyDescent="0.35">
      <c r="A276" s="24">
        <v>264</v>
      </c>
      <c r="B276" s="103">
        <f t="shared" si="22"/>
        <v>805.23243451820974</v>
      </c>
      <c r="C276" s="103">
        <f t="shared" si="19"/>
        <v>267.26179254319305</v>
      </c>
      <c r="D276" s="103">
        <f t="shared" si="20"/>
        <v>537.97064197501663</v>
      </c>
      <c r="E276" s="103">
        <f t="shared" si="21"/>
        <v>63604.859568391308</v>
      </c>
      <c r="F276" s="6"/>
      <c r="G276" s="2">
        <v>264</v>
      </c>
      <c r="H276" s="101">
        <v>805.23243451820974</v>
      </c>
      <c r="I276" s="101">
        <v>267.26179254319305</v>
      </c>
      <c r="J276" s="101">
        <v>537.97064197501663</v>
      </c>
      <c r="K276" s="101">
        <v>63604.859568391308</v>
      </c>
      <c r="L276" s="17"/>
    </row>
    <row r="277" spans="1:12" x14ac:dyDescent="0.35">
      <c r="A277" s="24">
        <v>265</v>
      </c>
      <c r="B277" s="103">
        <f t="shared" si="22"/>
        <v>805.23243451820974</v>
      </c>
      <c r="C277" s="103">
        <f t="shared" si="19"/>
        <v>265.02024820163047</v>
      </c>
      <c r="D277" s="103">
        <f t="shared" si="20"/>
        <v>540.21218631657928</v>
      </c>
      <c r="E277" s="103">
        <f t="shared" si="21"/>
        <v>63064.647382074727</v>
      </c>
      <c r="F277" s="6"/>
      <c r="G277" s="2">
        <v>265</v>
      </c>
      <c r="H277" s="101">
        <v>805.23243451820974</v>
      </c>
      <c r="I277" s="101">
        <v>265.02024820163047</v>
      </c>
      <c r="J277" s="101">
        <v>540.21218631657928</v>
      </c>
      <c r="K277" s="101">
        <v>63064.647382074727</v>
      </c>
      <c r="L277" s="17"/>
    </row>
    <row r="278" spans="1:12" x14ac:dyDescent="0.35">
      <c r="A278" s="24">
        <v>266</v>
      </c>
      <c r="B278" s="103">
        <f t="shared" si="22"/>
        <v>805.23243451820974</v>
      </c>
      <c r="C278" s="103">
        <f t="shared" si="19"/>
        <v>262.76936409197805</v>
      </c>
      <c r="D278" s="103">
        <f t="shared" si="20"/>
        <v>542.46307042623175</v>
      </c>
      <c r="E278" s="103">
        <f t="shared" si="21"/>
        <v>62522.184311648496</v>
      </c>
      <c r="F278" s="6"/>
      <c r="G278" s="2">
        <v>266</v>
      </c>
      <c r="H278" s="101">
        <v>805.23243451820974</v>
      </c>
      <c r="I278" s="101">
        <v>262.76936409197805</v>
      </c>
      <c r="J278" s="101">
        <v>542.46307042623175</v>
      </c>
      <c r="K278" s="101">
        <v>62522.184311648496</v>
      </c>
      <c r="L278" s="17"/>
    </row>
    <row r="279" spans="1:12" x14ac:dyDescent="0.35">
      <c r="A279" s="24">
        <v>267</v>
      </c>
      <c r="B279" s="103">
        <f t="shared" si="22"/>
        <v>805.23243451820974</v>
      </c>
      <c r="C279" s="103">
        <f t="shared" si="19"/>
        <v>260.50910129853543</v>
      </c>
      <c r="D279" s="103">
        <f t="shared" si="20"/>
        <v>544.72333321967426</v>
      </c>
      <c r="E279" s="103">
        <f t="shared" si="21"/>
        <v>61977.460978428819</v>
      </c>
      <c r="F279" s="6"/>
      <c r="G279" s="2">
        <v>267</v>
      </c>
      <c r="H279" s="101">
        <v>805.23243451820974</v>
      </c>
      <c r="I279" s="101">
        <v>260.50910129853543</v>
      </c>
      <c r="J279" s="101">
        <v>544.72333321967426</v>
      </c>
      <c r="K279" s="101">
        <v>61977.460978428819</v>
      </c>
      <c r="L279" s="17"/>
    </row>
    <row r="280" spans="1:12" x14ac:dyDescent="0.35">
      <c r="A280" s="24">
        <v>268</v>
      </c>
      <c r="B280" s="103">
        <f t="shared" si="22"/>
        <v>805.23243451820974</v>
      </c>
      <c r="C280" s="103">
        <f t="shared" si="19"/>
        <v>258.23942074345342</v>
      </c>
      <c r="D280" s="103">
        <f t="shared" si="20"/>
        <v>546.99301377475626</v>
      </c>
      <c r="E280" s="103">
        <f t="shared" si="21"/>
        <v>61430.467964654061</v>
      </c>
      <c r="F280" s="6"/>
      <c r="G280" s="2">
        <v>268</v>
      </c>
      <c r="H280" s="101">
        <v>805.23243451820974</v>
      </c>
      <c r="I280" s="101">
        <v>258.23942074345342</v>
      </c>
      <c r="J280" s="101">
        <v>546.99301377475626</v>
      </c>
      <c r="K280" s="101">
        <v>61430.467964654061</v>
      </c>
      <c r="L280" s="17"/>
    </row>
    <row r="281" spans="1:12" x14ac:dyDescent="0.35">
      <c r="A281" s="24">
        <v>269</v>
      </c>
      <c r="B281" s="103">
        <f t="shared" si="22"/>
        <v>805.23243451820974</v>
      </c>
      <c r="C281" s="103">
        <f t="shared" si="19"/>
        <v>255.9602831860586</v>
      </c>
      <c r="D281" s="103">
        <f t="shared" si="20"/>
        <v>549.27215133215111</v>
      </c>
      <c r="E281" s="103">
        <f t="shared" si="21"/>
        <v>60881.195813321909</v>
      </c>
      <c r="F281" s="6"/>
      <c r="G281" s="2">
        <v>269</v>
      </c>
      <c r="H281" s="101">
        <v>805.23243451820974</v>
      </c>
      <c r="I281" s="101">
        <v>255.9602831860586</v>
      </c>
      <c r="J281" s="101">
        <v>549.27215133215111</v>
      </c>
      <c r="K281" s="101">
        <v>60881.195813321909</v>
      </c>
      <c r="L281" s="17"/>
    </row>
    <row r="282" spans="1:12" x14ac:dyDescent="0.35">
      <c r="A282" s="24">
        <v>270</v>
      </c>
      <c r="B282" s="103">
        <f t="shared" si="22"/>
        <v>805.23243451820974</v>
      </c>
      <c r="C282" s="103">
        <f t="shared" ref="C282:C345" si="23">E281*$B$5/$B$7</f>
        <v>253.67164922217464</v>
      </c>
      <c r="D282" s="103">
        <f t="shared" ref="D282:D345" si="24">B282-C282</f>
        <v>551.56078529603508</v>
      </c>
      <c r="E282" s="103">
        <f t="shared" ref="E282:E345" si="25">E281-D282</f>
        <v>60329.63502802587</v>
      </c>
      <c r="F282" s="6"/>
      <c r="G282" s="2">
        <v>270</v>
      </c>
      <c r="H282" s="101">
        <v>805.23243451820974</v>
      </c>
      <c r="I282" s="101">
        <v>253.67164922217464</v>
      </c>
      <c r="J282" s="101">
        <v>551.56078529603508</v>
      </c>
      <c r="K282" s="101">
        <v>60329.63502802587</v>
      </c>
      <c r="L282" s="17"/>
    </row>
    <row r="283" spans="1:12" x14ac:dyDescent="0.35">
      <c r="A283" s="24">
        <v>271</v>
      </c>
      <c r="B283" s="103">
        <f t="shared" si="22"/>
        <v>805.23243451820974</v>
      </c>
      <c r="C283" s="103">
        <f t="shared" si="23"/>
        <v>251.37347928344116</v>
      </c>
      <c r="D283" s="103">
        <f t="shared" si="24"/>
        <v>553.85895523476859</v>
      </c>
      <c r="E283" s="103">
        <f t="shared" si="25"/>
        <v>59775.776072791101</v>
      </c>
      <c r="F283" s="6"/>
      <c r="G283" s="2">
        <v>271</v>
      </c>
      <c r="H283" s="101">
        <v>805.23243451820974</v>
      </c>
      <c r="I283" s="101">
        <v>251.37347928344113</v>
      </c>
      <c r="J283" s="101">
        <v>553.85895523476859</v>
      </c>
      <c r="K283" s="101">
        <v>59775.776072791101</v>
      </c>
      <c r="L283" s="17"/>
    </row>
    <row r="284" spans="1:12" x14ac:dyDescent="0.35">
      <c r="A284" s="24">
        <v>272</v>
      </c>
      <c r="B284" s="103">
        <f t="shared" si="22"/>
        <v>805.23243451820974</v>
      </c>
      <c r="C284" s="103">
        <f t="shared" si="23"/>
        <v>249.0657336366296</v>
      </c>
      <c r="D284" s="103">
        <f t="shared" si="24"/>
        <v>556.16670088158014</v>
      </c>
      <c r="E284" s="103">
        <f t="shared" si="25"/>
        <v>59219.609371909522</v>
      </c>
      <c r="F284" s="6"/>
      <c r="G284" s="2">
        <v>272</v>
      </c>
      <c r="H284" s="101">
        <v>805.23243451820974</v>
      </c>
      <c r="I284" s="101">
        <v>249.0657336366296</v>
      </c>
      <c r="J284" s="101">
        <v>556.16670088158014</v>
      </c>
      <c r="K284" s="101">
        <v>59219.609371909522</v>
      </c>
      <c r="L284" s="17"/>
    </row>
    <row r="285" spans="1:12" x14ac:dyDescent="0.35">
      <c r="A285" s="24">
        <v>273</v>
      </c>
      <c r="B285" s="103">
        <f t="shared" si="22"/>
        <v>805.23243451820974</v>
      </c>
      <c r="C285" s="103">
        <f t="shared" si="23"/>
        <v>246.74837238295638</v>
      </c>
      <c r="D285" s="103">
        <f t="shared" si="24"/>
        <v>558.48406213525334</v>
      </c>
      <c r="E285" s="103">
        <f t="shared" si="25"/>
        <v>58661.125309774266</v>
      </c>
      <c r="F285" s="6"/>
      <c r="G285" s="2">
        <v>273</v>
      </c>
      <c r="H285" s="101">
        <v>805.23243451820974</v>
      </c>
      <c r="I285" s="101">
        <v>246.74837238295635</v>
      </c>
      <c r="J285" s="101">
        <v>558.48406213525345</v>
      </c>
      <c r="K285" s="101">
        <v>58661.125309774266</v>
      </c>
      <c r="L285" s="17"/>
    </row>
    <row r="286" spans="1:12" x14ac:dyDescent="0.35">
      <c r="A286" s="24">
        <v>274</v>
      </c>
      <c r="B286" s="103">
        <f t="shared" si="22"/>
        <v>805.23243451820974</v>
      </c>
      <c r="C286" s="103">
        <f t="shared" si="23"/>
        <v>244.42135545739279</v>
      </c>
      <c r="D286" s="103">
        <f t="shared" si="24"/>
        <v>560.81107906081695</v>
      </c>
      <c r="E286" s="103">
        <f t="shared" si="25"/>
        <v>58100.314230713448</v>
      </c>
      <c r="F286" s="6"/>
      <c r="G286" s="2">
        <v>274</v>
      </c>
      <c r="H286" s="101">
        <v>805.23243451820974</v>
      </c>
      <c r="I286" s="101">
        <v>244.42135545739279</v>
      </c>
      <c r="J286" s="101">
        <v>560.81107906081695</v>
      </c>
      <c r="K286" s="101">
        <v>58100.314230713448</v>
      </c>
      <c r="L286" s="17"/>
    </row>
    <row r="287" spans="1:12" x14ac:dyDescent="0.35">
      <c r="A287" s="24">
        <v>275</v>
      </c>
      <c r="B287" s="103">
        <f t="shared" si="22"/>
        <v>805.23243451820974</v>
      </c>
      <c r="C287" s="103">
        <f t="shared" si="23"/>
        <v>242.0846426279727</v>
      </c>
      <c r="D287" s="103">
        <f t="shared" si="24"/>
        <v>563.14779189023704</v>
      </c>
      <c r="E287" s="103">
        <f t="shared" si="25"/>
        <v>57537.166438823209</v>
      </c>
      <c r="F287" s="6"/>
      <c r="G287" s="2">
        <v>275</v>
      </c>
      <c r="H287" s="101">
        <v>805.23243451820974</v>
      </c>
      <c r="I287" s="101">
        <v>242.0846426279727</v>
      </c>
      <c r="J287" s="101">
        <v>563.14779189023704</v>
      </c>
      <c r="K287" s="101">
        <v>57537.166438823209</v>
      </c>
      <c r="L287" s="17"/>
    </row>
    <row r="288" spans="1:12" x14ac:dyDescent="0.35">
      <c r="A288" s="24">
        <v>276</v>
      </c>
      <c r="B288" s="103">
        <f t="shared" si="22"/>
        <v>805.23243451820974</v>
      </c>
      <c r="C288" s="103">
        <f t="shared" si="23"/>
        <v>239.73819349509674</v>
      </c>
      <c r="D288" s="103">
        <f t="shared" si="24"/>
        <v>565.49424102311298</v>
      </c>
      <c r="E288" s="103">
        <f t="shared" si="25"/>
        <v>56971.672197800093</v>
      </c>
      <c r="F288" s="6"/>
      <c r="G288" s="2">
        <v>276</v>
      </c>
      <c r="H288" s="101">
        <v>805.23243451820974</v>
      </c>
      <c r="I288" s="101">
        <v>239.73819349509671</v>
      </c>
      <c r="J288" s="101">
        <v>565.49424102311309</v>
      </c>
      <c r="K288" s="101">
        <v>56971.672197800093</v>
      </c>
      <c r="L288" s="17"/>
    </row>
    <row r="289" spans="1:12" x14ac:dyDescent="0.35">
      <c r="A289" s="24">
        <v>277</v>
      </c>
      <c r="B289" s="103">
        <f t="shared" si="22"/>
        <v>805.23243451820974</v>
      </c>
      <c r="C289" s="103">
        <f t="shared" si="23"/>
        <v>237.38196749083374</v>
      </c>
      <c r="D289" s="103">
        <f t="shared" si="24"/>
        <v>567.850467027376</v>
      </c>
      <c r="E289" s="103">
        <f t="shared" si="25"/>
        <v>56403.821730772717</v>
      </c>
      <c r="F289" s="6"/>
      <c r="G289" s="2">
        <v>277</v>
      </c>
      <c r="H289" s="101">
        <v>805.23243451820974</v>
      </c>
      <c r="I289" s="101">
        <v>237.38196749083374</v>
      </c>
      <c r="J289" s="101">
        <v>567.850467027376</v>
      </c>
      <c r="K289" s="101">
        <v>56403.821730772717</v>
      </c>
      <c r="L289" s="17"/>
    </row>
    <row r="290" spans="1:12" x14ac:dyDescent="0.35">
      <c r="A290" s="24">
        <v>278</v>
      </c>
      <c r="B290" s="103">
        <f t="shared" si="22"/>
        <v>805.23243451820974</v>
      </c>
      <c r="C290" s="103">
        <f t="shared" si="23"/>
        <v>235.0159238782197</v>
      </c>
      <c r="D290" s="103">
        <f t="shared" si="24"/>
        <v>570.21651063999002</v>
      </c>
      <c r="E290" s="103">
        <f t="shared" si="25"/>
        <v>55833.605220132726</v>
      </c>
      <c r="F290" s="6"/>
      <c r="G290" s="2">
        <v>278</v>
      </c>
      <c r="H290" s="101">
        <v>805.23243451820974</v>
      </c>
      <c r="I290" s="101">
        <v>235.01592387821967</v>
      </c>
      <c r="J290" s="101">
        <v>570.21651063999002</v>
      </c>
      <c r="K290" s="101">
        <v>55833.605220132726</v>
      </c>
      <c r="L290" s="17"/>
    </row>
    <row r="291" spans="1:12" x14ac:dyDescent="0.35">
      <c r="A291" s="24">
        <v>279</v>
      </c>
      <c r="B291" s="103">
        <f t="shared" si="22"/>
        <v>805.23243451820974</v>
      </c>
      <c r="C291" s="103">
        <f t="shared" si="23"/>
        <v>232.64002175055305</v>
      </c>
      <c r="D291" s="103">
        <f t="shared" si="24"/>
        <v>572.5924127676567</v>
      </c>
      <c r="E291" s="103">
        <f t="shared" si="25"/>
        <v>55261.01280736507</v>
      </c>
      <c r="F291" s="6"/>
      <c r="G291" s="2">
        <v>279</v>
      </c>
      <c r="H291" s="101">
        <v>805.23243451820974</v>
      </c>
      <c r="I291" s="101">
        <v>232.64002175055305</v>
      </c>
      <c r="J291" s="101">
        <v>572.5924127676567</v>
      </c>
      <c r="K291" s="101">
        <v>55261.01280736507</v>
      </c>
      <c r="L291" s="17"/>
    </row>
    <row r="292" spans="1:12" x14ac:dyDescent="0.35">
      <c r="A292" s="24">
        <v>280</v>
      </c>
      <c r="B292" s="103">
        <f t="shared" si="22"/>
        <v>805.23243451820974</v>
      </c>
      <c r="C292" s="103">
        <f t="shared" si="23"/>
        <v>230.25422003068783</v>
      </c>
      <c r="D292" s="103">
        <f t="shared" si="24"/>
        <v>574.97821448752188</v>
      </c>
      <c r="E292" s="103">
        <f t="shared" si="25"/>
        <v>54686.03459287755</v>
      </c>
      <c r="F292" s="6"/>
      <c r="G292" s="2">
        <v>280</v>
      </c>
      <c r="H292" s="101">
        <v>805.23243451820974</v>
      </c>
      <c r="I292" s="101">
        <v>230.2542200306878</v>
      </c>
      <c r="J292" s="101">
        <v>574.97821448752188</v>
      </c>
      <c r="K292" s="101">
        <v>54686.03459287755</v>
      </c>
      <c r="L292" s="17"/>
    </row>
    <row r="293" spans="1:12" x14ac:dyDescent="0.35">
      <c r="A293" s="24">
        <v>281</v>
      </c>
      <c r="B293" s="103">
        <f t="shared" si="22"/>
        <v>805.23243451820974</v>
      </c>
      <c r="C293" s="103">
        <f t="shared" si="23"/>
        <v>227.85847747032312</v>
      </c>
      <c r="D293" s="103">
        <f t="shared" si="24"/>
        <v>577.37395704788662</v>
      </c>
      <c r="E293" s="103">
        <f t="shared" si="25"/>
        <v>54108.660635829663</v>
      </c>
      <c r="F293" s="6"/>
      <c r="G293" s="2">
        <v>281</v>
      </c>
      <c r="H293" s="101">
        <v>805.23243451820974</v>
      </c>
      <c r="I293" s="101">
        <v>227.85847747032312</v>
      </c>
      <c r="J293" s="101">
        <v>577.37395704788662</v>
      </c>
      <c r="K293" s="101">
        <v>54108.660635829663</v>
      </c>
      <c r="L293" s="17"/>
    </row>
    <row r="294" spans="1:12" x14ac:dyDescent="0.35">
      <c r="A294" s="24">
        <v>282</v>
      </c>
      <c r="B294" s="103">
        <f t="shared" si="22"/>
        <v>805.23243451820974</v>
      </c>
      <c r="C294" s="103">
        <f t="shared" si="23"/>
        <v>225.45275264929026</v>
      </c>
      <c r="D294" s="103">
        <f t="shared" si="24"/>
        <v>579.77968186891951</v>
      </c>
      <c r="E294" s="103">
        <f t="shared" si="25"/>
        <v>53528.880953960746</v>
      </c>
      <c r="F294" s="6"/>
      <c r="G294" s="2">
        <v>282</v>
      </c>
      <c r="H294" s="101">
        <v>805.23243451820974</v>
      </c>
      <c r="I294" s="101">
        <v>225.45275264929029</v>
      </c>
      <c r="J294" s="101">
        <v>579.7796818689194</v>
      </c>
      <c r="K294" s="101">
        <v>53528.880953960746</v>
      </c>
      <c r="L294" s="17"/>
    </row>
    <row r="295" spans="1:12" x14ac:dyDescent="0.35">
      <c r="A295" s="24">
        <v>283</v>
      </c>
      <c r="B295" s="103">
        <f t="shared" si="22"/>
        <v>805.23243451820974</v>
      </c>
      <c r="C295" s="103">
        <f t="shared" si="23"/>
        <v>223.03700397483647</v>
      </c>
      <c r="D295" s="103">
        <f t="shared" si="24"/>
        <v>582.19543054337328</v>
      </c>
      <c r="E295" s="103">
        <f t="shared" si="25"/>
        <v>52946.685523417371</v>
      </c>
      <c r="F295" s="6"/>
      <c r="G295" s="2">
        <v>283</v>
      </c>
      <c r="H295" s="101">
        <v>805.23243451820974</v>
      </c>
      <c r="I295" s="101">
        <v>223.03700397483647</v>
      </c>
      <c r="J295" s="101">
        <v>582.19543054337328</v>
      </c>
      <c r="K295" s="101">
        <v>52946.685523417371</v>
      </c>
      <c r="L295" s="17"/>
    </row>
    <row r="296" spans="1:12" x14ac:dyDescent="0.35">
      <c r="A296" s="24">
        <v>284</v>
      </c>
      <c r="B296" s="103">
        <f t="shared" si="22"/>
        <v>805.23243451820974</v>
      </c>
      <c r="C296" s="103">
        <f t="shared" si="23"/>
        <v>220.61118968090571</v>
      </c>
      <c r="D296" s="103">
        <f t="shared" si="24"/>
        <v>584.62124483730406</v>
      </c>
      <c r="E296" s="103">
        <f t="shared" si="25"/>
        <v>52362.064278580066</v>
      </c>
      <c r="F296" s="6"/>
      <c r="G296" s="2">
        <v>284</v>
      </c>
      <c r="H296" s="101">
        <v>805.23243451820974</v>
      </c>
      <c r="I296" s="101">
        <v>220.61118968090571</v>
      </c>
      <c r="J296" s="101">
        <v>584.62124483730406</v>
      </c>
      <c r="K296" s="101">
        <v>52362.064278580066</v>
      </c>
      <c r="L296" s="17"/>
    </row>
    <row r="297" spans="1:12" x14ac:dyDescent="0.35">
      <c r="A297" s="24">
        <v>285</v>
      </c>
      <c r="B297" s="103">
        <f t="shared" si="22"/>
        <v>805.23243451820974</v>
      </c>
      <c r="C297" s="103">
        <f t="shared" si="23"/>
        <v>218.17526782741697</v>
      </c>
      <c r="D297" s="103">
        <f t="shared" si="24"/>
        <v>587.05716669079277</v>
      </c>
      <c r="E297" s="103">
        <f t="shared" si="25"/>
        <v>51775.007111889274</v>
      </c>
      <c r="F297" s="6"/>
      <c r="G297" s="2">
        <v>285</v>
      </c>
      <c r="H297" s="101">
        <v>805.23243451820974</v>
      </c>
      <c r="I297" s="101">
        <v>218.17526782741695</v>
      </c>
      <c r="J297" s="101">
        <v>587.05716669079277</v>
      </c>
      <c r="K297" s="101">
        <v>51775.007111889274</v>
      </c>
      <c r="L297" s="17"/>
    </row>
    <row r="298" spans="1:12" x14ac:dyDescent="0.35">
      <c r="A298" s="24">
        <v>286</v>
      </c>
      <c r="B298" s="103">
        <f t="shared" si="22"/>
        <v>805.23243451820974</v>
      </c>
      <c r="C298" s="103">
        <f t="shared" si="23"/>
        <v>215.72919629953867</v>
      </c>
      <c r="D298" s="103">
        <f t="shared" si="24"/>
        <v>589.50323821867107</v>
      </c>
      <c r="E298" s="103">
        <f t="shared" si="25"/>
        <v>51185.503873670605</v>
      </c>
      <c r="F298" s="6"/>
      <c r="G298" s="2">
        <v>286</v>
      </c>
      <c r="H298" s="101">
        <v>805.23243451820974</v>
      </c>
      <c r="I298" s="101">
        <v>215.72919629953864</v>
      </c>
      <c r="J298" s="101">
        <v>589.50323821867107</v>
      </c>
      <c r="K298" s="101">
        <v>51185.503873670605</v>
      </c>
      <c r="L298" s="17"/>
    </row>
    <row r="299" spans="1:12" x14ac:dyDescent="0.35">
      <c r="A299" s="24">
        <v>287</v>
      </c>
      <c r="B299" s="103">
        <f t="shared" si="22"/>
        <v>805.23243451820974</v>
      </c>
      <c r="C299" s="103">
        <f t="shared" si="23"/>
        <v>213.27293280696085</v>
      </c>
      <c r="D299" s="103">
        <f t="shared" si="24"/>
        <v>591.95950171124889</v>
      </c>
      <c r="E299" s="103">
        <f t="shared" si="25"/>
        <v>50593.544371959353</v>
      </c>
      <c r="F299" s="6"/>
      <c r="G299" s="2">
        <v>287</v>
      </c>
      <c r="H299" s="101">
        <v>805.23243451820974</v>
      </c>
      <c r="I299" s="101">
        <v>213.27293280696085</v>
      </c>
      <c r="J299" s="101">
        <v>591.95950171124889</v>
      </c>
      <c r="K299" s="101">
        <v>50593.544371959353</v>
      </c>
      <c r="L299" s="17"/>
    </row>
    <row r="300" spans="1:12" x14ac:dyDescent="0.35">
      <c r="A300" s="24">
        <v>288</v>
      </c>
      <c r="B300" s="103">
        <f t="shared" si="22"/>
        <v>805.23243451820974</v>
      </c>
      <c r="C300" s="103">
        <f t="shared" si="23"/>
        <v>210.806434883164</v>
      </c>
      <c r="D300" s="103">
        <f t="shared" si="24"/>
        <v>594.42599963504574</v>
      </c>
      <c r="E300" s="103">
        <f t="shared" si="25"/>
        <v>49999.118372324308</v>
      </c>
      <c r="F300" s="6"/>
      <c r="G300" s="2">
        <v>288</v>
      </c>
      <c r="H300" s="101">
        <v>805.23243451820974</v>
      </c>
      <c r="I300" s="101">
        <v>210.80643488316397</v>
      </c>
      <c r="J300" s="101">
        <v>594.42599963504574</v>
      </c>
      <c r="K300" s="101">
        <v>49999.118372324308</v>
      </c>
      <c r="L300" s="17"/>
    </row>
    <row r="301" spans="1:12" x14ac:dyDescent="0.35">
      <c r="A301" s="24">
        <v>289</v>
      </c>
      <c r="B301" s="103">
        <f t="shared" si="22"/>
        <v>805.23243451820974</v>
      </c>
      <c r="C301" s="103">
        <f t="shared" si="23"/>
        <v>208.32965988468462</v>
      </c>
      <c r="D301" s="103">
        <f t="shared" si="24"/>
        <v>596.90277463352515</v>
      </c>
      <c r="E301" s="103">
        <f t="shared" si="25"/>
        <v>49402.215597690782</v>
      </c>
      <c r="F301" s="6"/>
      <c r="G301" s="2">
        <v>289</v>
      </c>
      <c r="H301" s="101">
        <v>805.23243451820974</v>
      </c>
      <c r="I301" s="101">
        <v>208.32965988468462</v>
      </c>
      <c r="J301" s="101">
        <v>596.90277463352515</v>
      </c>
      <c r="K301" s="101">
        <v>49402.215597690782</v>
      </c>
      <c r="L301" s="17"/>
    </row>
    <row r="302" spans="1:12" x14ac:dyDescent="0.35">
      <c r="A302" s="24">
        <v>290</v>
      </c>
      <c r="B302" s="103">
        <f t="shared" si="22"/>
        <v>805.23243451820974</v>
      </c>
      <c r="C302" s="103">
        <f t="shared" si="23"/>
        <v>205.84256499037826</v>
      </c>
      <c r="D302" s="103">
        <f t="shared" si="24"/>
        <v>599.38986952783148</v>
      </c>
      <c r="E302" s="103">
        <f t="shared" si="25"/>
        <v>48802.825728162949</v>
      </c>
      <c r="F302" s="6"/>
      <c r="G302" s="2">
        <v>290</v>
      </c>
      <c r="H302" s="101">
        <v>805.23243451820974</v>
      </c>
      <c r="I302" s="101">
        <v>205.84256499037826</v>
      </c>
      <c r="J302" s="101">
        <v>599.38986952783148</v>
      </c>
      <c r="K302" s="101">
        <v>48802.825728162949</v>
      </c>
      <c r="L302" s="17"/>
    </row>
    <row r="303" spans="1:12" x14ac:dyDescent="0.35">
      <c r="A303" s="24">
        <v>291</v>
      </c>
      <c r="B303" s="103">
        <f t="shared" si="22"/>
        <v>805.23243451820974</v>
      </c>
      <c r="C303" s="103">
        <f t="shared" si="23"/>
        <v>203.34510720067897</v>
      </c>
      <c r="D303" s="103">
        <f t="shared" si="24"/>
        <v>601.88732731753078</v>
      </c>
      <c r="E303" s="103">
        <f t="shared" si="25"/>
        <v>48200.938400845414</v>
      </c>
      <c r="F303" s="6"/>
      <c r="G303" s="2">
        <v>291</v>
      </c>
      <c r="H303" s="101">
        <v>805.23243451820974</v>
      </c>
      <c r="I303" s="101">
        <v>203.34510720067897</v>
      </c>
      <c r="J303" s="101">
        <v>601.88732731753078</v>
      </c>
      <c r="K303" s="101">
        <v>48200.938400845414</v>
      </c>
      <c r="L303" s="17"/>
    </row>
    <row r="304" spans="1:12" x14ac:dyDescent="0.35">
      <c r="A304" s="24">
        <v>292</v>
      </c>
      <c r="B304" s="103">
        <f t="shared" si="22"/>
        <v>805.23243451820974</v>
      </c>
      <c r="C304" s="103">
        <f t="shared" si="23"/>
        <v>200.83724333685589</v>
      </c>
      <c r="D304" s="103">
        <f t="shared" si="24"/>
        <v>604.39519118135388</v>
      </c>
      <c r="E304" s="103">
        <f t="shared" si="25"/>
        <v>47596.543209664058</v>
      </c>
      <c r="F304" s="6"/>
      <c r="G304" s="2">
        <v>292</v>
      </c>
      <c r="H304" s="101">
        <v>805.23243451820974</v>
      </c>
      <c r="I304" s="101">
        <v>200.83724333685589</v>
      </c>
      <c r="J304" s="101">
        <v>604.39519118135388</v>
      </c>
      <c r="K304" s="101">
        <v>47596.543209664058</v>
      </c>
      <c r="L304" s="17"/>
    </row>
    <row r="305" spans="1:12" x14ac:dyDescent="0.35">
      <c r="A305" s="24">
        <v>293</v>
      </c>
      <c r="B305" s="103">
        <f t="shared" si="22"/>
        <v>805.23243451820974</v>
      </c>
      <c r="C305" s="103">
        <f t="shared" si="23"/>
        <v>198.31893004026691</v>
      </c>
      <c r="D305" s="103">
        <f t="shared" si="24"/>
        <v>606.91350447794287</v>
      </c>
      <c r="E305" s="103">
        <f t="shared" si="25"/>
        <v>46989.629705186118</v>
      </c>
      <c r="F305" s="6"/>
      <c r="G305" s="2">
        <v>293</v>
      </c>
      <c r="H305" s="101">
        <v>805.23243451820974</v>
      </c>
      <c r="I305" s="101">
        <v>198.31893004026691</v>
      </c>
      <c r="J305" s="101">
        <v>606.91350447794287</v>
      </c>
      <c r="K305" s="101">
        <v>46989.629705186118</v>
      </c>
      <c r="L305" s="17"/>
    </row>
    <row r="306" spans="1:12" x14ac:dyDescent="0.35">
      <c r="A306" s="24">
        <v>294</v>
      </c>
      <c r="B306" s="103">
        <f t="shared" si="22"/>
        <v>805.23243451820974</v>
      </c>
      <c r="C306" s="103">
        <f t="shared" si="23"/>
        <v>195.79012377160882</v>
      </c>
      <c r="D306" s="103">
        <f t="shared" si="24"/>
        <v>609.44231074660092</v>
      </c>
      <c r="E306" s="103">
        <f t="shared" si="25"/>
        <v>46380.187394439519</v>
      </c>
      <c r="F306" s="6"/>
      <c r="G306" s="2">
        <v>294</v>
      </c>
      <c r="H306" s="101">
        <v>805.23243451820974</v>
      </c>
      <c r="I306" s="101">
        <v>195.79012377160885</v>
      </c>
      <c r="J306" s="101">
        <v>609.44231074660092</v>
      </c>
      <c r="K306" s="101">
        <v>46380.187394439519</v>
      </c>
      <c r="L306" s="17"/>
    </row>
    <row r="307" spans="1:12" x14ac:dyDescent="0.35">
      <c r="A307" s="24">
        <v>295</v>
      </c>
      <c r="B307" s="103">
        <f t="shared" si="22"/>
        <v>805.23243451820974</v>
      </c>
      <c r="C307" s="103">
        <f t="shared" si="23"/>
        <v>193.25078081016466</v>
      </c>
      <c r="D307" s="103">
        <f t="shared" si="24"/>
        <v>611.98165370804509</v>
      </c>
      <c r="E307" s="103">
        <f t="shared" si="25"/>
        <v>45768.205740731471</v>
      </c>
      <c r="F307" s="6"/>
      <c r="G307" s="2">
        <v>295</v>
      </c>
      <c r="H307" s="101">
        <v>805.23243451820974</v>
      </c>
      <c r="I307" s="101">
        <v>193.25078081016468</v>
      </c>
      <c r="J307" s="101">
        <v>611.98165370804509</v>
      </c>
      <c r="K307" s="101">
        <v>45768.205740731471</v>
      </c>
      <c r="L307" s="17"/>
    </row>
    <row r="308" spans="1:12" x14ac:dyDescent="0.35">
      <c r="A308" s="24">
        <v>296</v>
      </c>
      <c r="B308" s="103">
        <f t="shared" si="22"/>
        <v>805.23243451820974</v>
      </c>
      <c r="C308" s="103">
        <f t="shared" si="23"/>
        <v>190.70085725304781</v>
      </c>
      <c r="D308" s="103">
        <f t="shared" si="24"/>
        <v>614.5315772651619</v>
      </c>
      <c r="E308" s="103">
        <f t="shared" si="25"/>
        <v>45153.674163466312</v>
      </c>
      <c r="F308" s="6"/>
      <c r="G308" s="2">
        <v>296</v>
      </c>
      <c r="H308" s="101">
        <v>805.23243451820974</v>
      </c>
      <c r="I308" s="101">
        <v>190.70085725304781</v>
      </c>
      <c r="J308" s="101">
        <v>614.5315772651619</v>
      </c>
      <c r="K308" s="101">
        <v>45153.674163466312</v>
      </c>
      <c r="L308" s="17"/>
    </row>
    <row r="309" spans="1:12" x14ac:dyDescent="0.35">
      <c r="A309" s="24">
        <v>297</v>
      </c>
      <c r="B309" s="103">
        <f t="shared" si="22"/>
        <v>805.23243451820974</v>
      </c>
      <c r="C309" s="103">
        <f t="shared" si="23"/>
        <v>188.14030901444298</v>
      </c>
      <c r="D309" s="103">
        <f t="shared" si="24"/>
        <v>617.09212550376674</v>
      </c>
      <c r="E309" s="103">
        <f t="shared" si="25"/>
        <v>44536.582037962544</v>
      </c>
      <c r="F309" s="6"/>
      <c r="G309" s="2">
        <v>297</v>
      </c>
      <c r="H309" s="101">
        <v>805.23243451820974</v>
      </c>
      <c r="I309" s="101">
        <v>188.14030901444298</v>
      </c>
      <c r="J309" s="101">
        <v>617.09212550376674</v>
      </c>
      <c r="K309" s="101">
        <v>44536.582037962544</v>
      </c>
      <c r="L309" s="17"/>
    </row>
    <row r="310" spans="1:12" x14ac:dyDescent="0.35">
      <c r="A310" s="24">
        <v>298</v>
      </c>
      <c r="B310" s="103">
        <f t="shared" si="22"/>
        <v>805.23243451820974</v>
      </c>
      <c r="C310" s="103">
        <f t="shared" si="23"/>
        <v>185.56909182484392</v>
      </c>
      <c r="D310" s="103">
        <f t="shared" si="24"/>
        <v>619.66334269336585</v>
      </c>
      <c r="E310" s="103">
        <f t="shared" si="25"/>
        <v>43916.918695269182</v>
      </c>
      <c r="F310" s="6"/>
      <c r="G310" s="2">
        <v>298</v>
      </c>
      <c r="H310" s="101">
        <v>805.23243451820974</v>
      </c>
      <c r="I310" s="101">
        <v>185.56909182484395</v>
      </c>
      <c r="J310" s="101">
        <v>619.66334269336585</v>
      </c>
      <c r="K310" s="101">
        <v>43916.918695269182</v>
      </c>
      <c r="L310" s="17"/>
    </row>
    <row r="311" spans="1:12" x14ac:dyDescent="0.35">
      <c r="A311" s="24">
        <v>299</v>
      </c>
      <c r="B311" s="103">
        <f t="shared" si="22"/>
        <v>805.23243451820974</v>
      </c>
      <c r="C311" s="103">
        <f t="shared" si="23"/>
        <v>182.98716123028828</v>
      </c>
      <c r="D311" s="103">
        <f t="shared" si="24"/>
        <v>622.24527328792146</v>
      </c>
      <c r="E311" s="103">
        <f t="shared" si="25"/>
        <v>43294.673421981257</v>
      </c>
      <c r="F311" s="6"/>
      <c r="G311" s="2">
        <v>299</v>
      </c>
      <c r="H311" s="101">
        <v>805.23243451820974</v>
      </c>
      <c r="I311" s="101">
        <v>182.98716123028828</v>
      </c>
      <c r="J311" s="101">
        <v>622.24527328792146</v>
      </c>
      <c r="K311" s="101">
        <v>43294.673421981257</v>
      </c>
      <c r="L311" s="17"/>
    </row>
    <row r="312" spans="1:12" x14ac:dyDescent="0.35">
      <c r="A312" s="24">
        <v>300</v>
      </c>
      <c r="B312" s="103">
        <f t="shared" si="22"/>
        <v>805.23243451820974</v>
      </c>
      <c r="C312" s="103">
        <f t="shared" si="23"/>
        <v>180.3944725915886</v>
      </c>
      <c r="D312" s="103">
        <f t="shared" si="24"/>
        <v>624.83796192662112</v>
      </c>
      <c r="E312" s="103">
        <f t="shared" si="25"/>
        <v>42669.835460054637</v>
      </c>
      <c r="F312" s="6"/>
      <c r="G312" s="2">
        <v>300</v>
      </c>
      <c r="H312" s="101">
        <v>805.23243451820974</v>
      </c>
      <c r="I312" s="101">
        <v>180.39447259158857</v>
      </c>
      <c r="J312" s="101">
        <v>624.83796192662112</v>
      </c>
      <c r="K312" s="101">
        <v>42669.835460054637</v>
      </c>
      <c r="L312" s="17"/>
    </row>
    <row r="313" spans="1:12" x14ac:dyDescent="0.35">
      <c r="A313" s="24">
        <v>301</v>
      </c>
      <c r="B313" s="103">
        <f t="shared" si="22"/>
        <v>805.23243451820974</v>
      </c>
      <c r="C313" s="103">
        <f t="shared" si="23"/>
        <v>177.79098108356098</v>
      </c>
      <c r="D313" s="103">
        <f t="shared" si="24"/>
        <v>627.44145343464879</v>
      </c>
      <c r="E313" s="103">
        <f t="shared" si="25"/>
        <v>42042.394006619987</v>
      </c>
      <c r="F313" s="6"/>
      <c r="G313" s="2">
        <v>301</v>
      </c>
      <c r="H313" s="101">
        <v>805.23243451820974</v>
      </c>
      <c r="I313" s="101">
        <v>177.79098108356101</v>
      </c>
      <c r="J313" s="101">
        <v>627.44145343464879</v>
      </c>
      <c r="K313" s="101">
        <v>42042.394006619987</v>
      </c>
      <c r="L313" s="17"/>
    </row>
    <row r="314" spans="1:12" x14ac:dyDescent="0.35">
      <c r="A314" s="24">
        <v>302</v>
      </c>
      <c r="B314" s="103">
        <f t="shared" si="22"/>
        <v>805.23243451820974</v>
      </c>
      <c r="C314" s="103">
        <f t="shared" si="23"/>
        <v>175.17664169424995</v>
      </c>
      <c r="D314" s="103">
        <f t="shared" si="24"/>
        <v>630.05579282395979</v>
      </c>
      <c r="E314" s="103">
        <f t="shared" si="25"/>
        <v>41412.338213796029</v>
      </c>
      <c r="F314" s="6"/>
      <c r="G314" s="2">
        <v>302</v>
      </c>
      <c r="H314" s="101">
        <v>805.23243451820974</v>
      </c>
      <c r="I314" s="101">
        <v>175.17664169424995</v>
      </c>
      <c r="J314" s="101">
        <v>630.05579282395979</v>
      </c>
      <c r="K314" s="101">
        <v>41412.338213796029</v>
      </c>
      <c r="L314" s="17"/>
    </row>
    <row r="315" spans="1:12" x14ac:dyDescent="0.35">
      <c r="A315" s="24">
        <v>303</v>
      </c>
      <c r="B315" s="103">
        <f t="shared" si="22"/>
        <v>805.23243451820974</v>
      </c>
      <c r="C315" s="103">
        <f t="shared" si="23"/>
        <v>172.55140922415012</v>
      </c>
      <c r="D315" s="103">
        <f t="shared" si="24"/>
        <v>632.68102529405962</v>
      </c>
      <c r="E315" s="103">
        <f t="shared" si="25"/>
        <v>40779.657188501966</v>
      </c>
      <c r="F315" s="6"/>
      <c r="G315" s="2">
        <v>303</v>
      </c>
      <c r="H315" s="101">
        <v>805.23243451820974</v>
      </c>
      <c r="I315" s="101">
        <v>172.55140922415012</v>
      </c>
      <c r="J315" s="101">
        <v>632.68102529405962</v>
      </c>
      <c r="K315" s="101">
        <v>40779.657188501966</v>
      </c>
      <c r="L315" s="17"/>
    </row>
    <row r="316" spans="1:12" x14ac:dyDescent="0.35">
      <c r="A316" s="24">
        <v>304</v>
      </c>
      <c r="B316" s="103">
        <f t="shared" si="22"/>
        <v>805.23243451820974</v>
      </c>
      <c r="C316" s="103">
        <f t="shared" si="23"/>
        <v>169.91523828542486</v>
      </c>
      <c r="D316" s="103">
        <f t="shared" si="24"/>
        <v>635.31719623278491</v>
      </c>
      <c r="E316" s="103">
        <f t="shared" si="25"/>
        <v>40144.339992269182</v>
      </c>
      <c r="F316" s="6"/>
      <c r="G316" s="2">
        <v>304</v>
      </c>
      <c r="H316" s="101">
        <v>805.23243451820974</v>
      </c>
      <c r="I316" s="101">
        <v>169.91523828542486</v>
      </c>
      <c r="J316" s="101">
        <v>635.31719623278491</v>
      </c>
      <c r="K316" s="101">
        <v>40144.339992269182</v>
      </c>
      <c r="L316" s="17"/>
    </row>
    <row r="317" spans="1:12" x14ac:dyDescent="0.35">
      <c r="A317" s="24">
        <v>305</v>
      </c>
      <c r="B317" s="103">
        <f t="shared" si="22"/>
        <v>805.23243451820974</v>
      </c>
      <c r="C317" s="103">
        <f t="shared" si="23"/>
        <v>167.26808330112161</v>
      </c>
      <c r="D317" s="103">
        <f t="shared" si="24"/>
        <v>637.96435121708816</v>
      </c>
      <c r="E317" s="103">
        <f t="shared" si="25"/>
        <v>39506.375641052095</v>
      </c>
      <c r="F317" s="6"/>
      <c r="G317" s="2">
        <v>305</v>
      </c>
      <c r="H317" s="101">
        <v>805.23243451820974</v>
      </c>
      <c r="I317" s="101">
        <v>167.26808330112161</v>
      </c>
      <c r="J317" s="101">
        <v>637.96435121708816</v>
      </c>
      <c r="K317" s="101">
        <v>39506.375641052095</v>
      </c>
      <c r="L317" s="17"/>
    </row>
    <row r="318" spans="1:12" x14ac:dyDescent="0.35">
      <c r="A318" s="24">
        <v>306</v>
      </c>
      <c r="B318" s="103">
        <f t="shared" si="22"/>
        <v>805.23243451820974</v>
      </c>
      <c r="C318" s="103">
        <f t="shared" si="23"/>
        <v>164.60989850438372</v>
      </c>
      <c r="D318" s="103">
        <f t="shared" si="24"/>
        <v>640.62253601382599</v>
      </c>
      <c r="E318" s="103">
        <f t="shared" si="25"/>
        <v>38865.753105038268</v>
      </c>
      <c r="F318" s="6"/>
      <c r="G318" s="2">
        <v>306</v>
      </c>
      <c r="H318" s="101">
        <v>805.23243451820974</v>
      </c>
      <c r="I318" s="101">
        <v>164.60989850438375</v>
      </c>
      <c r="J318" s="101">
        <v>640.62253601382599</v>
      </c>
      <c r="K318" s="101">
        <v>38865.753105038268</v>
      </c>
      <c r="L318" s="17"/>
    </row>
    <row r="319" spans="1:12" x14ac:dyDescent="0.35">
      <c r="A319" s="24">
        <v>307</v>
      </c>
      <c r="B319" s="103">
        <f t="shared" si="22"/>
        <v>805.23243451820974</v>
      </c>
      <c r="C319" s="103">
        <f t="shared" si="23"/>
        <v>161.94063793765946</v>
      </c>
      <c r="D319" s="103">
        <f t="shared" si="24"/>
        <v>643.29179658055023</v>
      </c>
      <c r="E319" s="103">
        <f t="shared" si="25"/>
        <v>38222.461308457714</v>
      </c>
      <c r="F319" s="6"/>
      <c r="G319" s="2">
        <v>307</v>
      </c>
      <c r="H319" s="101">
        <v>805.23243451820974</v>
      </c>
      <c r="I319" s="101">
        <v>161.94063793765946</v>
      </c>
      <c r="J319" s="101">
        <v>643.29179658055023</v>
      </c>
      <c r="K319" s="101">
        <v>38222.461308457714</v>
      </c>
      <c r="L319" s="17"/>
    </row>
    <row r="320" spans="1:12" x14ac:dyDescent="0.35">
      <c r="A320" s="24">
        <v>308</v>
      </c>
      <c r="B320" s="103">
        <f t="shared" si="22"/>
        <v>805.23243451820974</v>
      </c>
      <c r="C320" s="103">
        <f t="shared" si="23"/>
        <v>159.26025545190714</v>
      </c>
      <c r="D320" s="103">
        <f t="shared" si="24"/>
        <v>645.9721790663026</v>
      </c>
      <c r="E320" s="103">
        <f t="shared" si="25"/>
        <v>37576.489129391412</v>
      </c>
      <c r="F320" s="6"/>
      <c r="G320" s="2">
        <v>308</v>
      </c>
      <c r="H320" s="101">
        <v>805.23243451820974</v>
      </c>
      <c r="I320" s="101">
        <v>159.26025545190714</v>
      </c>
      <c r="J320" s="101">
        <v>645.9721790663026</v>
      </c>
      <c r="K320" s="101">
        <v>37576.489129391412</v>
      </c>
      <c r="L320" s="17"/>
    </row>
    <row r="321" spans="1:12" x14ac:dyDescent="0.35">
      <c r="A321" s="24">
        <v>309</v>
      </c>
      <c r="B321" s="103">
        <f t="shared" si="22"/>
        <v>805.23243451820974</v>
      </c>
      <c r="C321" s="103">
        <f t="shared" si="23"/>
        <v>156.56870470579756</v>
      </c>
      <c r="D321" s="103">
        <f t="shared" si="24"/>
        <v>648.66372981241216</v>
      </c>
      <c r="E321" s="103">
        <f t="shared" si="25"/>
        <v>36927.825399579</v>
      </c>
      <c r="F321" s="6"/>
      <c r="G321" s="2">
        <v>309</v>
      </c>
      <c r="H321" s="101">
        <v>805.23243451820974</v>
      </c>
      <c r="I321" s="101">
        <v>156.56870470579756</v>
      </c>
      <c r="J321" s="101">
        <v>648.66372981241216</v>
      </c>
      <c r="K321" s="101">
        <v>36927.825399579</v>
      </c>
      <c r="L321" s="17"/>
    </row>
    <row r="322" spans="1:12" x14ac:dyDescent="0.35">
      <c r="A322" s="24">
        <v>310</v>
      </c>
      <c r="B322" s="103">
        <f t="shared" si="22"/>
        <v>805.23243451820974</v>
      </c>
      <c r="C322" s="103">
        <f t="shared" si="23"/>
        <v>153.8659391649125</v>
      </c>
      <c r="D322" s="103">
        <f t="shared" si="24"/>
        <v>651.3664953532973</v>
      </c>
      <c r="E322" s="103">
        <f t="shared" si="25"/>
        <v>36276.458904225699</v>
      </c>
      <c r="F322" s="6"/>
      <c r="G322" s="2">
        <v>310</v>
      </c>
      <c r="H322" s="101">
        <v>805.23243451820974</v>
      </c>
      <c r="I322" s="101">
        <v>153.8659391649125</v>
      </c>
      <c r="J322" s="101">
        <v>651.3664953532973</v>
      </c>
      <c r="K322" s="101">
        <v>36276.458904225699</v>
      </c>
      <c r="L322" s="17"/>
    </row>
    <row r="323" spans="1:12" x14ac:dyDescent="0.35">
      <c r="A323" s="24">
        <v>311</v>
      </c>
      <c r="B323" s="103">
        <f t="shared" si="22"/>
        <v>805.23243451820974</v>
      </c>
      <c r="C323" s="103">
        <f t="shared" si="23"/>
        <v>151.15191210094042</v>
      </c>
      <c r="D323" s="103">
        <f t="shared" si="24"/>
        <v>654.08052241726932</v>
      </c>
      <c r="E323" s="103">
        <f t="shared" si="25"/>
        <v>35622.378381808427</v>
      </c>
      <c r="F323" s="6"/>
      <c r="G323" s="2">
        <v>311</v>
      </c>
      <c r="H323" s="101">
        <v>805.23243451820974</v>
      </c>
      <c r="I323" s="101">
        <v>151.15191210094042</v>
      </c>
      <c r="J323" s="101">
        <v>654.08052241726932</v>
      </c>
      <c r="K323" s="101">
        <v>35622.378381808427</v>
      </c>
      <c r="L323" s="17"/>
    </row>
    <row r="324" spans="1:12" x14ac:dyDescent="0.35">
      <c r="A324" s="24">
        <v>312</v>
      </c>
      <c r="B324" s="103">
        <f t="shared" si="22"/>
        <v>805.23243451820974</v>
      </c>
      <c r="C324" s="103">
        <f t="shared" si="23"/>
        <v>148.42657659086845</v>
      </c>
      <c r="D324" s="103">
        <f t="shared" si="24"/>
        <v>656.80585792734132</v>
      </c>
      <c r="E324" s="103">
        <f t="shared" si="25"/>
        <v>34965.572523881085</v>
      </c>
      <c r="F324" s="6"/>
      <c r="G324" s="2">
        <v>312</v>
      </c>
      <c r="H324" s="101">
        <v>805.23243451820974</v>
      </c>
      <c r="I324" s="101">
        <v>148.42657659086845</v>
      </c>
      <c r="J324" s="101">
        <v>656.80585792734132</v>
      </c>
      <c r="K324" s="101">
        <v>34965.572523881085</v>
      </c>
      <c r="L324" s="17"/>
    </row>
    <row r="325" spans="1:12" x14ac:dyDescent="0.35">
      <c r="A325" s="24">
        <v>313</v>
      </c>
      <c r="B325" s="103">
        <f t="shared" si="22"/>
        <v>805.23243451820974</v>
      </c>
      <c r="C325" s="103">
        <f t="shared" si="23"/>
        <v>145.68988551617119</v>
      </c>
      <c r="D325" s="103">
        <f t="shared" si="24"/>
        <v>659.54254900203853</v>
      </c>
      <c r="E325" s="103">
        <f t="shared" si="25"/>
        <v>34306.029974879049</v>
      </c>
      <c r="F325" s="6"/>
      <c r="G325" s="2">
        <v>313</v>
      </c>
      <c r="H325" s="101">
        <v>805.23243451820974</v>
      </c>
      <c r="I325" s="101">
        <v>145.68988551617119</v>
      </c>
      <c r="J325" s="101">
        <v>659.54254900203853</v>
      </c>
      <c r="K325" s="101">
        <v>34306.029974879049</v>
      </c>
      <c r="L325" s="17"/>
    </row>
    <row r="326" spans="1:12" x14ac:dyDescent="0.35">
      <c r="A326" s="24">
        <v>314</v>
      </c>
      <c r="B326" s="103">
        <f t="shared" si="22"/>
        <v>805.23243451820974</v>
      </c>
      <c r="C326" s="103">
        <f t="shared" si="23"/>
        <v>142.94179156199604</v>
      </c>
      <c r="D326" s="103">
        <f t="shared" si="24"/>
        <v>662.29064295621367</v>
      </c>
      <c r="E326" s="103">
        <f t="shared" si="25"/>
        <v>33643.739331922836</v>
      </c>
      <c r="F326" s="6"/>
      <c r="G326" s="2">
        <v>314</v>
      </c>
      <c r="H326" s="101">
        <v>805.23243451820974</v>
      </c>
      <c r="I326" s="101">
        <v>142.94179156199604</v>
      </c>
      <c r="J326" s="101">
        <v>662.29064295621367</v>
      </c>
      <c r="K326" s="101">
        <v>33643.739331922836</v>
      </c>
      <c r="L326" s="17"/>
    </row>
    <row r="327" spans="1:12" x14ac:dyDescent="0.35">
      <c r="A327" s="24">
        <v>315</v>
      </c>
      <c r="B327" s="103">
        <f t="shared" si="22"/>
        <v>805.23243451820974</v>
      </c>
      <c r="C327" s="103">
        <f t="shared" si="23"/>
        <v>140.18224721634516</v>
      </c>
      <c r="D327" s="103">
        <f t="shared" si="24"/>
        <v>665.05018730186453</v>
      </c>
      <c r="E327" s="103">
        <f t="shared" si="25"/>
        <v>32978.68914462097</v>
      </c>
      <c r="F327" s="6"/>
      <c r="G327" s="2">
        <v>315</v>
      </c>
      <c r="H327" s="101">
        <v>805.23243451820974</v>
      </c>
      <c r="I327" s="101">
        <v>140.18224721634516</v>
      </c>
      <c r="J327" s="101">
        <v>665.05018730186453</v>
      </c>
      <c r="K327" s="101">
        <v>32978.68914462097</v>
      </c>
      <c r="L327" s="17"/>
    </row>
    <row r="328" spans="1:12" x14ac:dyDescent="0.35">
      <c r="A328" s="24">
        <v>316</v>
      </c>
      <c r="B328" s="103">
        <f t="shared" si="22"/>
        <v>805.23243451820974</v>
      </c>
      <c r="C328" s="103">
        <f t="shared" si="23"/>
        <v>137.41120476925406</v>
      </c>
      <c r="D328" s="103">
        <f t="shared" si="24"/>
        <v>667.82122974895572</v>
      </c>
      <c r="E328" s="103">
        <f t="shared" si="25"/>
        <v>32310.867914872015</v>
      </c>
      <c r="F328" s="6"/>
      <c r="G328" s="2">
        <v>316</v>
      </c>
      <c r="H328" s="101">
        <v>805.23243451820974</v>
      </c>
      <c r="I328" s="101">
        <v>137.41120476925406</v>
      </c>
      <c r="J328" s="101">
        <v>667.82122974895572</v>
      </c>
      <c r="K328" s="101">
        <v>32310.867914872015</v>
      </c>
      <c r="L328" s="17"/>
    </row>
    <row r="329" spans="1:12" x14ac:dyDescent="0.35">
      <c r="A329" s="24">
        <v>317</v>
      </c>
      <c r="B329" s="103">
        <f t="shared" si="22"/>
        <v>805.23243451820974</v>
      </c>
      <c r="C329" s="103">
        <f t="shared" si="23"/>
        <v>134.62861631196674</v>
      </c>
      <c r="D329" s="103">
        <f t="shared" si="24"/>
        <v>670.60381820624298</v>
      </c>
      <c r="E329" s="103">
        <f t="shared" si="25"/>
        <v>31640.264096665771</v>
      </c>
      <c r="F329" s="6"/>
      <c r="G329" s="2">
        <v>317</v>
      </c>
      <c r="H329" s="101">
        <v>805.23243451820974</v>
      </c>
      <c r="I329" s="101">
        <v>134.62861631196674</v>
      </c>
      <c r="J329" s="101">
        <v>670.60381820624298</v>
      </c>
      <c r="K329" s="101">
        <v>31640.264096665771</v>
      </c>
      <c r="L329" s="17"/>
    </row>
    <row r="330" spans="1:12" x14ac:dyDescent="0.35">
      <c r="A330" s="24">
        <v>318</v>
      </c>
      <c r="B330" s="103">
        <f t="shared" si="22"/>
        <v>805.23243451820974</v>
      </c>
      <c r="C330" s="103">
        <f t="shared" si="23"/>
        <v>131.8344337361074</v>
      </c>
      <c r="D330" s="103">
        <f t="shared" si="24"/>
        <v>673.39800078210237</v>
      </c>
      <c r="E330" s="103">
        <f t="shared" si="25"/>
        <v>30966.86609588367</v>
      </c>
      <c r="F330" s="6"/>
      <c r="G330" s="2">
        <v>318</v>
      </c>
      <c r="H330" s="101">
        <v>805.23243451820974</v>
      </c>
      <c r="I330" s="101">
        <v>131.8344337361074</v>
      </c>
      <c r="J330" s="101">
        <v>673.39800078210237</v>
      </c>
      <c r="K330" s="101">
        <v>30966.86609588367</v>
      </c>
      <c r="L330" s="17"/>
    </row>
    <row r="331" spans="1:12" x14ac:dyDescent="0.35">
      <c r="A331" s="24">
        <v>319</v>
      </c>
      <c r="B331" s="103">
        <f t="shared" si="22"/>
        <v>805.23243451820974</v>
      </c>
      <c r="C331" s="103">
        <f t="shared" si="23"/>
        <v>129.02860873284862</v>
      </c>
      <c r="D331" s="103">
        <f t="shared" si="24"/>
        <v>676.20382578536112</v>
      </c>
      <c r="E331" s="103">
        <f t="shared" si="25"/>
        <v>30290.66227009831</v>
      </c>
      <c r="F331" s="6"/>
      <c r="G331" s="2">
        <v>319</v>
      </c>
      <c r="H331" s="101">
        <v>805.23243451820974</v>
      </c>
      <c r="I331" s="101">
        <v>129.02860873284862</v>
      </c>
      <c r="J331" s="101">
        <v>676.20382578536112</v>
      </c>
      <c r="K331" s="101">
        <v>30290.66227009831</v>
      </c>
      <c r="L331" s="17"/>
    </row>
    <row r="332" spans="1:12" x14ac:dyDescent="0.35">
      <c r="A332" s="24">
        <v>320</v>
      </c>
      <c r="B332" s="103">
        <f t="shared" si="22"/>
        <v>805.23243451820974</v>
      </c>
      <c r="C332" s="103">
        <f t="shared" si="23"/>
        <v>126.21109279207629</v>
      </c>
      <c r="D332" s="103">
        <f t="shared" si="24"/>
        <v>679.02134172613341</v>
      </c>
      <c r="E332" s="103">
        <f t="shared" si="25"/>
        <v>29611.640928372177</v>
      </c>
      <c r="F332" s="6"/>
      <c r="G332" s="2">
        <v>320</v>
      </c>
      <c r="H332" s="101">
        <v>805.23243451820974</v>
      </c>
      <c r="I332" s="101">
        <v>126.2110927920763</v>
      </c>
      <c r="J332" s="101">
        <v>679.02134172613341</v>
      </c>
      <c r="K332" s="101">
        <v>29611.640928372177</v>
      </c>
      <c r="L332" s="17"/>
    </row>
    <row r="333" spans="1:12" x14ac:dyDescent="0.35">
      <c r="A333" s="24">
        <v>321</v>
      </c>
      <c r="B333" s="103">
        <f t="shared" si="22"/>
        <v>805.23243451820974</v>
      </c>
      <c r="C333" s="103">
        <f t="shared" si="23"/>
        <v>123.38183720155075</v>
      </c>
      <c r="D333" s="103">
        <f t="shared" si="24"/>
        <v>681.85059731665899</v>
      </c>
      <c r="E333" s="103">
        <f t="shared" si="25"/>
        <v>28929.790331055519</v>
      </c>
      <c r="F333" s="6"/>
      <c r="G333" s="2">
        <v>321</v>
      </c>
      <c r="H333" s="101">
        <v>805.23243451820974</v>
      </c>
      <c r="I333" s="101">
        <v>123.38183720155074</v>
      </c>
      <c r="J333" s="101">
        <v>681.85059731665899</v>
      </c>
      <c r="K333" s="101">
        <v>28929.790331055519</v>
      </c>
      <c r="L333" s="17"/>
    </row>
    <row r="334" spans="1:12" x14ac:dyDescent="0.35">
      <c r="A334" s="24">
        <v>322</v>
      </c>
      <c r="B334" s="103">
        <f t="shared" ref="B334:B372" si="26">$B$8</f>
        <v>805.23243451820974</v>
      </c>
      <c r="C334" s="103">
        <f t="shared" si="23"/>
        <v>120.54079304606466</v>
      </c>
      <c r="D334" s="103">
        <f t="shared" si="24"/>
        <v>684.69164147214508</v>
      </c>
      <c r="E334" s="103">
        <f t="shared" si="25"/>
        <v>28245.098689583374</v>
      </c>
      <c r="F334" s="6"/>
      <c r="G334" s="2">
        <v>322</v>
      </c>
      <c r="H334" s="101">
        <v>805.23243451820974</v>
      </c>
      <c r="I334" s="101">
        <v>120.54079304606466</v>
      </c>
      <c r="J334" s="101">
        <v>684.69164147214508</v>
      </c>
      <c r="K334" s="101">
        <v>28245.098689583374</v>
      </c>
      <c r="L334" s="17"/>
    </row>
    <row r="335" spans="1:12" x14ac:dyDescent="0.35">
      <c r="A335" s="24">
        <v>323</v>
      </c>
      <c r="B335" s="103">
        <f t="shared" si="26"/>
        <v>805.23243451820974</v>
      </c>
      <c r="C335" s="103">
        <f t="shared" si="23"/>
        <v>117.68791120659739</v>
      </c>
      <c r="D335" s="103">
        <f t="shared" si="24"/>
        <v>687.54452331161235</v>
      </c>
      <c r="E335" s="103">
        <f t="shared" si="25"/>
        <v>27557.554166271762</v>
      </c>
      <c r="F335" s="6"/>
      <c r="G335" s="2">
        <v>323</v>
      </c>
      <c r="H335" s="101">
        <v>805.23243451820974</v>
      </c>
      <c r="I335" s="101">
        <v>117.68791120659739</v>
      </c>
      <c r="J335" s="101">
        <v>687.54452331161235</v>
      </c>
      <c r="K335" s="101">
        <v>27557.554166271762</v>
      </c>
      <c r="L335" s="17"/>
    </row>
    <row r="336" spans="1:12" x14ac:dyDescent="0.35">
      <c r="A336" s="24">
        <v>324</v>
      </c>
      <c r="B336" s="103">
        <f t="shared" si="26"/>
        <v>805.23243451820974</v>
      </c>
      <c r="C336" s="103">
        <f t="shared" si="23"/>
        <v>114.82314235946569</v>
      </c>
      <c r="D336" s="103">
        <f t="shared" si="24"/>
        <v>690.40929215874405</v>
      </c>
      <c r="E336" s="103">
        <f t="shared" si="25"/>
        <v>26867.144874113019</v>
      </c>
      <c r="F336" s="6"/>
      <c r="G336" s="2">
        <v>324</v>
      </c>
      <c r="H336" s="101">
        <v>805.23243451820974</v>
      </c>
      <c r="I336" s="101">
        <v>114.82314235946568</v>
      </c>
      <c r="J336" s="101">
        <v>690.40929215874405</v>
      </c>
      <c r="K336" s="101">
        <v>26867.144874113019</v>
      </c>
      <c r="L336" s="17"/>
    </row>
    <row r="337" spans="1:12" x14ac:dyDescent="0.35">
      <c r="A337" s="24">
        <v>325</v>
      </c>
      <c r="B337" s="103">
        <f t="shared" si="26"/>
        <v>805.23243451820974</v>
      </c>
      <c r="C337" s="103">
        <f t="shared" si="23"/>
        <v>111.94643697547092</v>
      </c>
      <c r="D337" s="103">
        <f t="shared" si="24"/>
        <v>693.28599754273887</v>
      </c>
      <c r="E337" s="103">
        <f t="shared" si="25"/>
        <v>26173.858876570281</v>
      </c>
      <c r="F337" s="6"/>
      <c r="G337" s="2">
        <v>325</v>
      </c>
      <c r="H337" s="101">
        <v>805.23243451820974</v>
      </c>
      <c r="I337" s="101">
        <v>111.94643697547092</v>
      </c>
      <c r="J337" s="101">
        <v>693.28599754273887</v>
      </c>
      <c r="K337" s="101">
        <v>26173.858876570281</v>
      </c>
      <c r="L337" s="17"/>
    </row>
    <row r="338" spans="1:12" x14ac:dyDescent="0.35">
      <c r="A338" s="24">
        <v>326</v>
      </c>
      <c r="B338" s="103">
        <f t="shared" si="26"/>
        <v>805.23243451820974</v>
      </c>
      <c r="C338" s="103">
        <f t="shared" si="23"/>
        <v>109.05774531904285</v>
      </c>
      <c r="D338" s="103">
        <f t="shared" si="24"/>
        <v>696.17468919916689</v>
      </c>
      <c r="E338" s="103">
        <f t="shared" si="25"/>
        <v>25477.684187371113</v>
      </c>
      <c r="F338" s="6"/>
      <c r="G338" s="2">
        <v>326</v>
      </c>
      <c r="H338" s="101">
        <v>805.23243451820974</v>
      </c>
      <c r="I338" s="101">
        <v>109.05774531904284</v>
      </c>
      <c r="J338" s="101">
        <v>696.17468919916689</v>
      </c>
      <c r="K338" s="101">
        <v>25477.684187371113</v>
      </c>
      <c r="L338" s="17"/>
    </row>
    <row r="339" spans="1:12" x14ac:dyDescent="0.35">
      <c r="A339" s="24">
        <v>327</v>
      </c>
      <c r="B339" s="103">
        <f t="shared" si="26"/>
        <v>805.23243451820974</v>
      </c>
      <c r="C339" s="103">
        <f t="shared" si="23"/>
        <v>106.15701744737964</v>
      </c>
      <c r="D339" s="103">
        <f t="shared" si="24"/>
        <v>699.0754170708301</v>
      </c>
      <c r="E339" s="103">
        <f t="shared" si="25"/>
        <v>24778.608770300281</v>
      </c>
      <c r="F339" s="6"/>
      <c r="G339" s="2">
        <v>327</v>
      </c>
      <c r="H339" s="101">
        <v>805.23243451820974</v>
      </c>
      <c r="I339" s="101">
        <v>106.15701744737964</v>
      </c>
      <c r="J339" s="101">
        <v>699.0754170708301</v>
      </c>
      <c r="K339" s="101">
        <v>24778.608770300281</v>
      </c>
      <c r="L339" s="17"/>
    </row>
    <row r="340" spans="1:12" x14ac:dyDescent="0.35">
      <c r="A340" s="24">
        <v>328</v>
      </c>
      <c r="B340" s="103">
        <f t="shared" si="26"/>
        <v>805.23243451820974</v>
      </c>
      <c r="C340" s="103">
        <f t="shared" si="23"/>
        <v>103.24420320958451</v>
      </c>
      <c r="D340" s="103">
        <f t="shared" si="24"/>
        <v>701.98823130862525</v>
      </c>
      <c r="E340" s="103">
        <f t="shared" si="25"/>
        <v>24076.620538991658</v>
      </c>
      <c r="F340" s="6"/>
      <c r="G340" s="2">
        <v>328</v>
      </c>
      <c r="H340" s="101">
        <v>805.23243451820974</v>
      </c>
      <c r="I340" s="101">
        <v>103.24420320958451</v>
      </c>
      <c r="J340" s="101">
        <v>701.98823130862525</v>
      </c>
      <c r="K340" s="101">
        <v>24076.620538991658</v>
      </c>
      <c r="L340" s="17"/>
    </row>
    <row r="341" spans="1:12" x14ac:dyDescent="0.35">
      <c r="A341" s="24">
        <v>329</v>
      </c>
      <c r="B341" s="103">
        <f t="shared" si="26"/>
        <v>805.23243451820974</v>
      </c>
      <c r="C341" s="103">
        <f t="shared" si="23"/>
        <v>100.31925224579858</v>
      </c>
      <c r="D341" s="103">
        <f t="shared" si="24"/>
        <v>704.91318227241118</v>
      </c>
      <c r="E341" s="103">
        <f t="shared" si="25"/>
        <v>23371.707356719246</v>
      </c>
      <c r="F341" s="6"/>
      <c r="G341" s="2">
        <v>329</v>
      </c>
      <c r="H341" s="101">
        <v>805.23243451820974</v>
      </c>
      <c r="I341" s="101">
        <v>100.31925224579858</v>
      </c>
      <c r="J341" s="101">
        <v>704.91318227241118</v>
      </c>
      <c r="K341" s="101">
        <v>23371.707356719246</v>
      </c>
      <c r="L341" s="17"/>
    </row>
    <row r="342" spans="1:12" x14ac:dyDescent="0.35">
      <c r="A342" s="24">
        <v>330</v>
      </c>
      <c r="B342" s="103">
        <f t="shared" si="26"/>
        <v>805.23243451820974</v>
      </c>
      <c r="C342" s="103">
        <f t="shared" si="23"/>
        <v>97.382113986330197</v>
      </c>
      <c r="D342" s="103">
        <f t="shared" si="24"/>
        <v>707.85032053187956</v>
      </c>
      <c r="E342" s="103">
        <f t="shared" si="25"/>
        <v>22663.857036187364</v>
      </c>
      <c r="F342" s="6"/>
      <c r="G342" s="2">
        <v>330</v>
      </c>
      <c r="H342" s="101">
        <v>805.23243451820974</v>
      </c>
      <c r="I342" s="101">
        <v>97.382113986330197</v>
      </c>
      <c r="J342" s="101">
        <v>707.85032053187956</v>
      </c>
      <c r="K342" s="101">
        <v>22663.857036187364</v>
      </c>
      <c r="L342" s="17"/>
    </row>
    <row r="343" spans="1:12" x14ac:dyDescent="0.35">
      <c r="A343" s="24">
        <v>331</v>
      </c>
      <c r="B343" s="103">
        <f t="shared" si="26"/>
        <v>805.23243451820974</v>
      </c>
      <c r="C343" s="103">
        <f t="shared" si="23"/>
        <v>94.43273765078068</v>
      </c>
      <c r="D343" s="103">
        <f t="shared" si="24"/>
        <v>710.79969686742902</v>
      </c>
      <c r="E343" s="103">
        <f t="shared" si="25"/>
        <v>21953.057339319934</v>
      </c>
      <c r="F343" s="6"/>
      <c r="G343" s="2">
        <v>331</v>
      </c>
      <c r="H343" s="101">
        <v>805.23243451820974</v>
      </c>
      <c r="I343" s="101">
        <v>94.432737650780695</v>
      </c>
      <c r="J343" s="101">
        <v>710.79969686742902</v>
      </c>
      <c r="K343" s="101">
        <v>21953.057339319934</v>
      </c>
      <c r="L343" s="17"/>
    </row>
    <row r="344" spans="1:12" x14ac:dyDescent="0.35">
      <c r="A344" s="24">
        <v>332</v>
      </c>
      <c r="B344" s="103">
        <f t="shared" si="26"/>
        <v>805.23243451820974</v>
      </c>
      <c r="C344" s="103">
        <f t="shared" si="23"/>
        <v>91.47107224716639</v>
      </c>
      <c r="D344" s="103">
        <f t="shared" si="24"/>
        <v>713.76136227104337</v>
      </c>
      <c r="E344" s="103">
        <f t="shared" si="25"/>
        <v>21239.295977048889</v>
      </c>
      <c r="F344" s="6"/>
      <c r="G344" s="2">
        <v>332</v>
      </c>
      <c r="H344" s="101">
        <v>805.23243451820974</v>
      </c>
      <c r="I344" s="101">
        <v>91.47107224716639</v>
      </c>
      <c r="J344" s="101">
        <v>713.76136227104337</v>
      </c>
      <c r="K344" s="101">
        <v>21239.295977048889</v>
      </c>
      <c r="L344" s="17"/>
    </row>
    <row r="345" spans="1:12" x14ac:dyDescent="0.35">
      <c r="A345" s="24">
        <v>333</v>
      </c>
      <c r="B345" s="103">
        <f t="shared" si="26"/>
        <v>805.23243451820974</v>
      </c>
      <c r="C345" s="103">
        <f t="shared" si="23"/>
        <v>88.497066571037053</v>
      </c>
      <c r="D345" s="103">
        <f t="shared" si="24"/>
        <v>716.73536794717268</v>
      </c>
      <c r="E345" s="103">
        <f t="shared" si="25"/>
        <v>20522.560609101714</v>
      </c>
      <c r="F345" s="6"/>
      <c r="G345" s="2">
        <v>333</v>
      </c>
      <c r="H345" s="101">
        <v>805.23243451820974</v>
      </c>
      <c r="I345" s="101">
        <v>88.497066571037038</v>
      </c>
      <c r="J345" s="101">
        <v>716.73536794717268</v>
      </c>
      <c r="K345" s="101">
        <v>20522.560609101714</v>
      </c>
      <c r="L345" s="17"/>
    </row>
    <row r="346" spans="1:12" x14ac:dyDescent="0.35">
      <c r="A346" s="24">
        <v>334</v>
      </c>
      <c r="B346" s="103">
        <f t="shared" si="26"/>
        <v>805.23243451820974</v>
      </c>
      <c r="C346" s="103">
        <f t="shared" ref="C346:C372" si="27">E345*$B$5/$B$7</f>
        <v>85.510669204590485</v>
      </c>
      <c r="D346" s="103">
        <f t="shared" ref="D346:D372" si="28">B346-C346</f>
        <v>719.72176531361924</v>
      </c>
      <c r="E346" s="103">
        <f t="shared" ref="E346:E372" si="29">E345-D346</f>
        <v>19802.838843788097</v>
      </c>
      <c r="F346" s="6"/>
      <c r="G346" s="2">
        <v>334</v>
      </c>
      <c r="H346" s="101">
        <v>805.23243451820974</v>
      </c>
      <c r="I346" s="101">
        <v>85.510669204590485</v>
      </c>
      <c r="J346" s="101">
        <v>719.72176531361924</v>
      </c>
      <c r="K346" s="101">
        <v>19802.838843788097</v>
      </c>
      <c r="L346" s="17"/>
    </row>
    <row r="347" spans="1:12" x14ac:dyDescent="0.35">
      <c r="A347" s="24">
        <v>335</v>
      </c>
      <c r="B347" s="103">
        <f t="shared" si="26"/>
        <v>805.23243451820974</v>
      </c>
      <c r="C347" s="103">
        <f t="shared" si="27"/>
        <v>82.511828515783733</v>
      </c>
      <c r="D347" s="103">
        <f t="shared" si="28"/>
        <v>722.72060600242605</v>
      </c>
      <c r="E347" s="103">
        <f t="shared" si="29"/>
        <v>19080.118237785671</v>
      </c>
      <c r="F347" s="6"/>
      <c r="G347" s="2">
        <v>335</v>
      </c>
      <c r="H347" s="101">
        <v>805.23243451820974</v>
      </c>
      <c r="I347" s="101">
        <v>82.511828515783748</v>
      </c>
      <c r="J347" s="101">
        <v>722.72060600242594</v>
      </c>
      <c r="K347" s="101">
        <v>19080.118237785671</v>
      </c>
      <c r="L347" s="17"/>
    </row>
    <row r="348" spans="1:12" x14ac:dyDescent="0.35">
      <c r="A348" s="24">
        <v>336</v>
      </c>
      <c r="B348" s="103">
        <f t="shared" si="26"/>
        <v>805.23243451820974</v>
      </c>
      <c r="C348" s="103">
        <f t="shared" si="27"/>
        <v>79.500492657440304</v>
      </c>
      <c r="D348" s="103">
        <f t="shared" si="28"/>
        <v>725.73194186076944</v>
      </c>
      <c r="E348" s="103">
        <f t="shared" si="29"/>
        <v>18354.386295924902</v>
      </c>
      <c r="F348" s="6"/>
      <c r="G348" s="2">
        <v>336</v>
      </c>
      <c r="H348" s="101">
        <v>805.23243451820974</v>
      </c>
      <c r="I348" s="101">
        <v>79.500492657440304</v>
      </c>
      <c r="J348" s="101">
        <v>725.73194186076944</v>
      </c>
      <c r="K348" s="101">
        <v>18354.386295924902</v>
      </c>
      <c r="L348" s="17"/>
    </row>
    <row r="349" spans="1:12" x14ac:dyDescent="0.35">
      <c r="A349" s="24">
        <v>337</v>
      </c>
      <c r="B349" s="103">
        <f t="shared" si="26"/>
        <v>805.23243451820974</v>
      </c>
      <c r="C349" s="103">
        <f t="shared" si="27"/>
        <v>76.476609566353758</v>
      </c>
      <c r="D349" s="103">
        <f t="shared" si="28"/>
        <v>728.75582495185597</v>
      </c>
      <c r="E349" s="103">
        <f t="shared" si="29"/>
        <v>17625.630470973047</v>
      </c>
      <c r="F349" s="6"/>
      <c r="G349" s="2">
        <v>337</v>
      </c>
      <c r="H349" s="101">
        <v>805.23243451820974</v>
      </c>
      <c r="I349" s="101">
        <v>76.476609566353758</v>
      </c>
      <c r="J349" s="101">
        <v>728.75582495185597</v>
      </c>
      <c r="K349" s="101">
        <v>17625.630470973047</v>
      </c>
      <c r="L349" s="17"/>
    </row>
    <row r="350" spans="1:12" x14ac:dyDescent="0.35">
      <c r="A350" s="24">
        <v>338</v>
      </c>
      <c r="B350" s="103">
        <f t="shared" si="26"/>
        <v>805.23243451820974</v>
      </c>
      <c r="C350" s="103">
        <f t="shared" si="27"/>
        <v>73.440126962387694</v>
      </c>
      <c r="D350" s="103">
        <f t="shared" si="28"/>
        <v>731.79230755582205</v>
      </c>
      <c r="E350" s="103">
        <f t="shared" si="29"/>
        <v>16893.838163417226</v>
      </c>
      <c r="F350" s="6"/>
      <c r="G350" s="2">
        <v>338</v>
      </c>
      <c r="H350" s="101">
        <v>805.23243451820974</v>
      </c>
      <c r="I350" s="101">
        <v>73.440126962387694</v>
      </c>
      <c r="J350" s="101">
        <v>731.79230755582205</v>
      </c>
      <c r="K350" s="101">
        <v>16893.838163417226</v>
      </c>
      <c r="L350" s="17"/>
    </row>
    <row r="351" spans="1:12" x14ac:dyDescent="0.35">
      <c r="A351" s="24">
        <v>339</v>
      </c>
      <c r="B351" s="103">
        <f t="shared" si="26"/>
        <v>805.23243451820974</v>
      </c>
      <c r="C351" s="103">
        <f t="shared" si="27"/>
        <v>70.390992347571782</v>
      </c>
      <c r="D351" s="103">
        <f t="shared" si="28"/>
        <v>734.84144217063795</v>
      </c>
      <c r="E351" s="103">
        <f t="shared" si="29"/>
        <v>16158.996721246587</v>
      </c>
      <c r="F351" s="6"/>
      <c r="G351" s="2">
        <v>339</v>
      </c>
      <c r="H351" s="101">
        <v>805.23243451820974</v>
      </c>
      <c r="I351" s="101">
        <v>70.390992347571782</v>
      </c>
      <c r="J351" s="101">
        <v>734.84144217063795</v>
      </c>
      <c r="K351" s="101">
        <v>16158.996721246587</v>
      </c>
      <c r="L351" s="17"/>
    </row>
    <row r="352" spans="1:12" x14ac:dyDescent="0.35">
      <c r="A352" s="24">
        <v>340</v>
      </c>
      <c r="B352" s="103">
        <f t="shared" si="26"/>
        <v>805.23243451820974</v>
      </c>
      <c r="C352" s="103">
        <f t="shared" si="27"/>
        <v>67.329153005194115</v>
      </c>
      <c r="D352" s="103">
        <f t="shared" si="28"/>
        <v>737.9032815130156</v>
      </c>
      <c r="E352" s="103">
        <f t="shared" si="29"/>
        <v>15421.093439733571</v>
      </c>
      <c r="F352" s="6"/>
      <c r="G352" s="2">
        <v>340</v>
      </c>
      <c r="H352" s="101">
        <v>805.23243451820974</v>
      </c>
      <c r="I352" s="101">
        <v>67.329153005194115</v>
      </c>
      <c r="J352" s="101">
        <v>737.9032815130156</v>
      </c>
      <c r="K352" s="101">
        <v>15421.093439733571</v>
      </c>
      <c r="L352" s="17"/>
    </row>
    <row r="353" spans="1:12" x14ac:dyDescent="0.35">
      <c r="A353" s="24">
        <v>341</v>
      </c>
      <c r="B353" s="103">
        <f t="shared" si="26"/>
        <v>805.23243451820974</v>
      </c>
      <c r="C353" s="103">
        <f t="shared" si="27"/>
        <v>64.254555998889884</v>
      </c>
      <c r="D353" s="103">
        <f t="shared" si="28"/>
        <v>740.9778785193198</v>
      </c>
      <c r="E353" s="103">
        <f t="shared" si="29"/>
        <v>14680.115561214252</v>
      </c>
      <c r="F353" s="6"/>
      <c r="G353" s="2">
        <v>341</v>
      </c>
      <c r="H353" s="101">
        <v>805.23243451820974</v>
      </c>
      <c r="I353" s="101">
        <v>64.254555998889884</v>
      </c>
      <c r="J353" s="101">
        <v>740.9778785193198</v>
      </c>
      <c r="K353" s="101">
        <v>14680.115561214252</v>
      </c>
      <c r="L353" s="17"/>
    </row>
    <row r="354" spans="1:12" x14ac:dyDescent="0.35">
      <c r="A354" s="24">
        <v>342</v>
      </c>
      <c r="B354" s="103">
        <f t="shared" si="26"/>
        <v>805.23243451820974</v>
      </c>
      <c r="C354" s="103">
        <f t="shared" si="27"/>
        <v>61.167148171726048</v>
      </c>
      <c r="D354" s="103">
        <f t="shared" si="28"/>
        <v>744.06528634648373</v>
      </c>
      <c r="E354" s="103">
        <f t="shared" si="29"/>
        <v>13936.050274867768</v>
      </c>
      <c r="F354" s="6"/>
      <c r="G354" s="2">
        <v>342</v>
      </c>
      <c r="H354" s="101">
        <v>805.23243451820974</v>
      </c>
      <c r="I354" s="101">
        <v>61.167148171726055</v>
      </c>
      <c r="J354" s="101">
        <v>744.06528634648373</v>
      </c>
      <c r="K354" s="101">
        <v>13936.050274867768</v>
      </c>
      <c r="L354" s="17"/>
    </row>
    <row r="355" spans="1:12" x14ac:dyDescent="0.35">
      <c r="A355" s="24">
        <v>343</v>
      </c>
      <c r="B355" s="103">
        <f t="shared" si="26"/>
        <v>805.23243451820974</v>
      </c>
      <c r="C355" s="103">
        <f t="shared" si="27"/>
        <v>58.066876145282372</v>
      </c>
      <c r="D355" s="103">
        <f t="shared" si="28"/>
        <v>747.16555837292742</v>
      </c>
      <c r="E355" s="103">
        <f t="shared" si="29"/>
        <v>13188.88471649484</v>
      </c>
      <c r="F355" s="6"/>
      <c r="G355" s="2">
        <v>343</v>
      </c>
      <c r="H355" s="101">
        <v>805.23243451820974</v>
      </c>
      <c r="I355" s="101">
        <v>58.066876145282372</v>
      </c>
      <c r="J355" s="101">
        <v>747.16555837292742</v>
      </c>
      <c r="K355" s="101">
        <v>13188.88471649484</v>
      </c>
      <c r="L355" s="17"/>
    </row>
    <row r="356" spans="1:12" x14ac:dyDescent="0.35">
      <c r="A356" s="24">
        <v>344</v>
      </c>
      <c r="B356" s="103">
        <f t="shared" si="26"/>
        <v>805.23243451820974</v>
      </c>
      <c r="C356" s="103">
        <f t="shared" si="27"/>
        <v>54.953686318728501</v>
      </c>
      <c r="D356" s="103">
        <f t="shared" si="28"/>
        <v>750.27874819948124</v>
      </c>
      <c r="E356" s="103">
        <f t="shared" si="29"/>
        <v>12438.605968295358</v>
      </c>
      <c r="F356" s="6"/>
      <c r="G356" s="2">
        <v>344</v>
      </c>
      <c r="H356" s="101">
        <v>805.23243451820974</v>
      </c>
      <c r="I356" s="101">
        <v>54.953686318728501</v>
      </c>
      <c r="J356" s="101">
        <v>750.27874819948124</v>
      </c>
      <c r="K356" s="101">
        <v>12438.605968295358</v>
      </c>
      <c r="L356" s="17"/>
    </row>
    <row r="357" spans="1:12" x14ac:dyDescent="0.35">
      <c r="A357" s="24">
        <v>345</v>
      </c>
      <c r="B357" s="103">
        <f t="shared" si="26"/>
        <v>805.23243451820974</v>
      </c>
      <c r="C357" s="103">
        <f t="shared" si="27"/>
        <v>51.827524867897331</v>
      </c>
      <c r="D357" s="103">
        <f t="shared" si="28"/>
        <v>753.40490965031245</v>
      </c>
      <c r="E357" s="103">
        <f t="shared" si="29"/>
        <v>11685.201058645045</v>
      </c>
      <c r="F357" s="6"/>
      <c r="G357" s="2">
        <v>345</v>
      </c>
      <c r="H357" s="101">
        <v>805.23243451820974</v>
      </c>
      <c r="I357" s="101">
        <v>51.827524867897331</v>
      </c>
      <c r="J357" s="101">
        <v>753.40490965031245</v>
      </c>
      <c r="K357" s="101">
        <v>11685.201058645045</v>
      </c>
      <c r="L357" s="17"/>
    </row>
    <row r="358" spans="1:12" x14ac:dyDescent="0.35">
      <c r="A358" s="24">
        <v>346</v>
      </c>
      <c r="B358" s="103">
        <f t="shared" si="26"/>
        <v>805.23243451820974</v>
      </c>
      <c r="C358" s="103">
        <f t="shared" si="27"/>
        <v>48.688337744354357</v>
      </c>
      <c r="D358" s="103">
        <f t="shared" si="28"/>
        <v>756.54409677385536</v>
      </c>
      <c r="E358" s="103">
        <f t="shared" si="29"/>
        <v>10928.656961871189</v>
      </c>
      <c r="F358" s="6"/>
      <c r="G358" s="2">
        <v>346</v>
      </c>
      <c r="H358" s="101">
        <v>805.23243451820974</v>
      </c>
      <c r="I358" s="101">
        <v>48.688337744354357</v>
      </c>
      <c r="J358" s="101">
        <v>756.54409677385536</v>
      </c>
      <c r="K358" s="101">
        <v>10928.656961871189</v>
      </c>
      <c r="L358" s="17"/>
    </row>
    <row r="359" spans="1:12" x14ac:dyDescent="0.35">
      <c r="A359" s="24">
        <v>347</v>
      </c>
      <c r="B359" s="103">
        <f t="shared" si="26"/>
        <v>805.23243451820974</v>
      </c>
      <c r="C359" s="103">
        <f t="shared" si="27"/>
        <v>45.536070674463296</v>
      </c>
      <c r="D359" s="103">
        <f t="shared" si="28"/>
        <v>759.69636384374644</v>
      </c>
      <c r="E359" s="103">
        <f t="shared" si="29"/>
        <v>10168.960598027443</v>
      </c>
      <c r="F359" s="6"/>
      <c r="G359" s="2">
        <v>347</v>
      </c>
      <c r="H359" s="101">
        <v>805.23243451820974</v>
      </c>
      <c r="I359" s="101">
        <v>45.536070674463289</v>
      </c>
      <c r="J359" s="101">
        <v>759.69636384374644</v>
      </c>
      <c r="K359" s="101">
        <v>10168.960598027443</v>
      </c>
      <c r="L359" s="17"/>
    </row>
    <row r="360" spans="1:12" x14ac:dyDescent="0.35">
      <c r="A360" s="24">
        <v>348</v>
      </c>
      <c r="B360" s="103">
        <f t="shared" si="26"/>
        <v>805.23243451820974</v>
      </c>
      <c r="C360" s="103">
        <f t="shared" si="27"/>
        <v>42.370669158447676</v>
      </c>
      <c r="D360" s="103">
        <f t="shared" si="28"/>
        <v>762.8617653597621</v>
      </c>
      <c r="E360" s="103">
        <f t="shared" si="29"/>
        <v>9406.0988326676816</v>
      </c>
      <c r="F360" s="6"/>
      <c r="G360" s="2">
        <v>348</v>
      </c>
      <c r="H360" s="101">
        <v>805.23243451820974</v>
      </c>
      <c r="I360" s="101">
        <v>42.370669158447683</v>
      </c>
      <c r="J360" s="101">
        <v>762.8617653597621</v>
      </c>
      <c r="K360" s="101">
        <v>9406.0988326676816</v>
      </c>
      <c r="L360" s="17"/>
    </row>
    <row r="361" spans="1:12" x14ac:dyDescent="0.35">
      <c r="A361" s="24">
        <v>349</v>
      </c>
      <c r="B361" s="103">
        <f t="shared" si="26"/>
        <v>805.23243451820974</v>
      </c>
      <c r="C361" s="103">
        <f t="shared" si="27"/>
        <v>39.192078469448674</v>
      </c>
      <c r="D361" s="103">
        <f t="shared" si="28"/>
        <v>766.04035604876105</v>
      </c>
      <c r="E361" s="103">
        <f t="shared" si="29"/>
        <v>8640.0584766189204</v>
      </c>
      <c r="F361" s="6"/>
      <c r="G361" s="2">
        <v>349</v>
      </c>
      <c r="H361" s="101">
        <v>805.23243451820974</v>
      </c>
      <c r="I361" s="101">
        <v>39.192078469448674</v>
      </c>
      <c r="J361" s="101">
        <v>766.04035604876105</v>
      </c>
      <c r="K361" s="101">
        <v>8640.0584766189204</v>
      </c>
      <c r="L361" s="17"/>
    </row>
    <row r="362" spans="1:12" x14ac:dyDescent="0.35">
      <c r="A362" s="24">
        <v>350</v>
      </c>
      <c r="B362" s="103">
        <f t="shared" si="26"/>
        <v>805.23243451820974</v>
      </c>
      <c r="C362" s="103">
        <f t="shared" si="27"/>
        <v>36.000243652578838</v>
      </c>
      <c r="D362" s="103">
        <f t="shared" si="28"/>
        <v>769.23219086563086</v>
      </c>
      <c r="E362" s="103">
        <f t="shared" si="29"/>
        <v>7870.82628575329</v>
      </c>
      <c r="F362" s="6"/>
      <c r="G362" s="2">
        <v>350</v>
      </c>
      <c r="H362" s="101">
        <v>805.23243451820974</v>
      </c>
      <c r="I362" s="101">
        <v>36.000243652578838</v>
      </c>
      <c r="J362" s="101">
        <v>769.23219086563086</v>
      </c>
      <c r="K362" s="101">
        <v>7870.82628575329</v>
      </c>
      <c r="L362" s="17"/>
    </row>
    <row r="363" spans="1:12" x14ac:dyDescent="0.35">
      <c r="A363" s="24">
        <v>351</v>
      </c>
      <c r="B363" s="103">
        <f t="shared" si="26"/>
        <v>805.23243451820974</v>
      </c>
      <c r="C363" s="103">
        <f t="shared" si="27"/>
        <v>32.795109523972044</v>
      </c>
      <c r="D363" s="103">
        <f t="shared" si="28"/>
        <v>772.43732499423766</v>
      </c>
      <c r="E363" s="103">
        <f t="shared" si="29"/>
        <v>7098.3889607590527</v>
      </c>
      <c r="F363" s="6"/>
      <c r="G363" s="2">
        <v>351</v>
      </c>
      <c r="H363" s="101">
        <v>805.23243451820974</v>
      </c>
      <c r="I363" s="101">
        <v>32.795109523972044</v>
      </c>
      <c r="J363" s="101">
        <v>772.43732499423766</v>
      </c>
      <c r="K363" s="101">
        <v>7098.3889607590527</v>
      </c>
      <c r="L363" s="17"/>
    </row>
    <row r="364" spans="1:12" x14ac:dyDescent="0.35">
      <c r="A364" s="24">
        <v>352</v>
      </c>
      <c r="B364" s="103">
        <f t="shared" si="26"/>
        <v>805.23243451820974</v>
      </c>
      <c r="C364" s="103">
        <f t="shared" si="27"/>
        <v>29.576620669829385</v>
      </c>
      <c r="D364" s="103">
        <f t="shared" si="28"/>
        <v>775.65581384838038</v>
      </c>
      <c r="E364" s="103">
        <f t="shared" si="29"/>
        <v>6322.7331469106721</v>
      </c>
      <c r="F364" s="6"/>
      <c r="G364" s="2">
        <v>352</v>
      </c>
      <c r="H364" s="101">
        <v>805.23243451820974</v>
      </c>
      <c r="I364" s="101">
        <v>29.576620669829389</v>
      </c>
      <c r="J364" s="101">
        <v>775.65581384838038</v>
      </c>
      <c r="K364" s="101">
        <v>6322.7331469106721</v>
      </c>
      <c r="L364" s="17"/>
    </row>
    <row r="365" spans="1:12" x14ac:dyDescent="0.35">
      <c r="A365" s="24">
        <v>353</v>
      </c>
      <c r="B365" s="103">
        <f t="shared" si="26"/>
        <v>805.23243451820974</v>
      </c>
      <c r="C365" s="103">
        <f t="shared" si="27"/>
        <v>26.344721445461136</v>
      </c>
      <c r="D365" s="103">
        <f t="shared" si="28"/>
        <v>778.88771307274862</v>
      </c>
      <c r="E365" s="103">
        <f t="shared" si="29"/>
        <v>5543.8454338379233</v>
      </c>
      <c r="F365" s="6"/>
      <c r="G365" s="2">
        <v>353</v>
      </c>
      <c r="H365" s="101">
        <v>805.23243451820974</v>
      </c>
      <c r="I365" s="101">
        <v>26.344721445461136</v>
      </c>
      <c r="J365" s="101">
        <v>778.88771307274862</v>
      </c>
      <c r="K365" s="101">
        <v>5543.8454338379233</v>
      </c>
      <c r="L365" s="17"/>
    </row>
    <row r="366" spans="1:12" x14ac:dyDescent="0.35">
      <c r="A366" s="24">
        <v>354</v>
      </c>
      <c r="B366" s="103">
        <f t="shared" si="26"/>
        <v>805.23243451820974</v>
      </c>
      <c r="C366" s="103">
        <f t="shared" si="27"/>
        <v>23.099355974324681</v>
      </c>
      <c r="D366" s="103">
        <f t="shared" si="28"/>
        <v>782.13307854388506</v>
      </c>
      <c r="E366" s="103">
        <f t="shared" si="29"/>
        <v>4761.7123552940384</v>
      </c>
      <c r="F366" s="6"/>
      <c r="G366" s="2">
        <v>354</v>
      </c>
      <c r="H366" s="101">
        <v>805.23243451820974</v>
      </c>
      <c r="I366" s="101">
        <v>23.099355974324681</v>
      </c>
      <c r="J366" s="101">
        <v>782.13307854388506</v>
      </c>
      <c r="K366" s="101">
        <v>4761.7123552940384</v>
      </c>
      <c r="L366" s="17"/>
    </row>
    <row r="367" spans="1:12" x14ac:dyDescent="0.35">
      <c r="A367" s="24">
        <v>355</v>
      </c>
      <c r="B367" s="103">
        <f t="shared" si="26"/>
        <v>805.23243451820974</v>
      </c>
      <c r="C367" s="103">
        <f t="shared" si="27"/>
        <v>19.840468147058495</v>
      </c>
      <c r="D367" s="103">
        <f t="shared" si="28"/>
        <v>785.39196637115128</v>
      </c>
      <c r="E367" s="103">
        <f t="shared" si="29"/>
        <v>3976.3203889228871</v>
      </c>
      <c r="F367" s="6"/>
      <c r="G367" s="2">
        <v>355</v>
      </c>
      <c r="H367" s="101">
        <v>805.23243451820974</v>
      </c>
      <c r="I367" s="101">
        <v>19.840468147058495</v>
      </c>
      <c r="J367" s="101">
        <v>785.39196637115128</v>
      </c>
      <c r="K367" s="101">
        <v>3976.3203889228871</v>
      </c>
      <c r="L367" s="17"/>
    </row>
    <row r="368" spans="1:12" x14ac:dyDescent="0.35">
      <c r="A368" s="24">
        <v>356</v>
      </c>
      <c r="B368" s="103">
        <f t="shared" si="26"/>
        <v>805.23243451820974</v>
      </c>
      <c r="C368" s="103">
        <f t="shared" si="27"/>
        <v>16.568001620512032</v>
      </c>
      <c r="D368" s="103">
        <f t="shared" si="28"/>
        <v>788.66443289769768</v>
      </c>
      <c r="E368" s="103">
        <f t="shared" si="29"/>
        <v>3187.6559560251894</v>
      </c>
      <c r="F368" s="6"/>
      <c r="G368" s="2">
        <v>356</v>
      </c>
      <c r="H368" s="101">
        <v>805.23243451820974</v>
      </c>
      <c r="I368" s="101">
        <v>16.568001620512032</v>
      </c>
      <c r="J368" s="101">
        <v>788.66443289769768</v>
      </c>
      <c r="K368" s="101">
        <v>3187.6559560251894</v>
      </c>
      <c r="L368" s="17"/>
    </row>
    <row r="369" spans="1:12" x14ac:dyDescent="0.35">
      <c r="A369" s="24">
        <v>357</v>
      </c>
      <c r="B369" s="103">
        <f t="shared" si="26"/>
        <v>805.23243451820974</v>
      </c>
      <c r="C369" s="103">
        <f t="shared" si="27"/>
        <v>13.281899816771622</v>
      </c>
      <c r="D369" s="103">
        <f t="shared" si="28"/>
        <v>791.95053470143807</v>
      </c>
      <c r="E369" s="103">
        <f t="shared" si="29"/>
        <v>2395.7054213237516</v>
      </c>
      <c r="F369" s="6"/>
      <c r="G369" s="2">
        <v>357</v>
      </c>
      <c r="H369" s="101">
        <v>805.23243451820974</v>
      </c>
      <c r="I369" s="101">
        <v>13.281899816771624</v>
      </c>
      <c r="J369" s="101">
        <v>791.95053470143807</v>
      </c>
      <c r="K369" s="101">
        <v>2395.7054213237516</v>
      </c>
      <c r="L369" s="17"/>
    </row>
    <row r="370" spans="1:12" x14ac:dyDescent="0.35">
      <c r="A370" s="24">
        <v>358</v>
      </c>
      <c r="B370" s="103">
        <f t="shared" si="26"/>
        <v>805.23243451820974</v>
      </c>
      <c r="C370" s="103">
        <f t="shared" si="27"/>
        <v>9.9821059221822992</v>
      </c>
      <c r="D370" s="103">
        <f t="shared" si="28"/>
        <v>795.25032859602743</v>
      </c>
      <c r="E370" s="103">
        <f t="shared" si="29"/>
        <v>1600.4550927277241</v>
      </c>
      <c r="F370" s="6"/>
      <c r="G370" s="2">
        <v>358</v>
      </c>
      <c r="H370" s="101">
        <v>805.23243451820974</v>
      </c>
      <c r="I370" s="101">
        <v>9.9821059221822992</v>
      </c>
      <c r="J370" s="101">
        <v>795.25032859602743</v>
      </c>
      <c r="K370" s="101">
        <v>1600.4550927277241</v>
      </c>
      <c r="L370" s="17"/>
    </row>
    <row r="371" spans="1:12" x14ac:dyDescent="0.35">
      <c r="A371" s="24">
        <v>359</v>
      </c>
      <c r="B371" s="103">
        <f t="shared" si="26"/>
        <v>805.23243451820974</v>
      </c>
      <c r="C371" s="103">
        <f t="shared" si="27"/>
        <v>6.6685628863655175</v>
      </c>
      <c r="D371" s="103">
        <f t="shared" si="28"/>
        <v>798.56387163184422</v>
      </c>
      <c r="E371" s="103">
        <f t="shared" si="29"/>
        <v>801.89122109587993</v>
      </c>
      <c r="F371" s="6"/>
      <c r="G371" s="2">
        <v>359</v>
      </c>
      <c r="H371" s="101">
        <v>805.23243451820974</v>
      </c>
      <c r="I371" s="101">
        <v>6.6685628863655175</v>
      </c>
      <c r="J371" s="101">
        <v>798.56387163184422</v>
      </c>
      <c r="K371" s="101">
        <v>801.89122109587993</v>
      </c>
      <c r="L371" s="17"/>
    </row>
    <row r="372" spans="1:12" ht="16" thickBot="1" x14ac:dyDescent="0.4">
      <c r="A372" s="18">
        <v>360</v>
      </c>
      <c r="B372" s="104">
        <f t="shared" si="26"/>
        <v>805.23243451820974</v>
      </c>
      <c r="C372" s="104">
        <f t="shared" si="27"/>
        <v>3.3412134212328333</v>
      </c>
      <c r="D372" s="104">
        <f t="shared" si="28"/>
        <v>801.89122109697689</v>
      </c>
      <c r="E372" s="104">
        <f t="shared" si="29"/>
        <v>-1.0969642971758731E-9</v>
      </c>
      <c r="F372" s="35"/>
      <c r="G372" s="2">
        <v>360</v>
      </c>
      <c r="H372" s="101">
        <v>805.23243451820974</v>
      </c>
      <c r="I372" s="101">
        <v>3.3412134212328333</v>
      </c>
      <c r="J372" s="101">
        <v>801.89122109697689</v>
      </c>
      <c r="K372" s="101">
        <v>-1.0969642971758731E-9</v>
      </c>
      <c r="L372" s="20"/>
    </row>
  </sheetData>
  <mergeCells count="4">
    <mergeCell ref="A2:L2"/>
    <mergeCell ref="A3:B3"/>
    <mergeCell ref="A10:E10"/>
    <mergeCell ref="G10:K10"/>
  </mergeCells>
  <hyperlinks>
    <hyperlink ref="D5" r:id="rId1" xr:uid="{0341D97D-B988-4C02-B642-3D00CE62E07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Ho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939800</xdr:colOff>
                    <xdr:row>0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10BF5-C436-4BD3-B44C-C35BCA372A2E}">
  <sheetPr codeName="Sheet13"/>
  <dimension ref="A1:Q68"/>
  <sheetViews>
    <sheetView showGridLines="0" zoomScale="70" zoomScaleNormal="80" workbookViewId="0">
      <selection activeCell="M5" sqref="M5"/>
    </sheetView>
  </sheetViews>
  <sheetFormatPr defaultRowHeight="15.5" x14ac:dyDescent="0.35"/>
  <cols>
    <col min="1" max="2" width="8.7265625" style="2"/>
    <col min="3" max="3" width="15" style="2" customWidth="1"/>
    <col min="4" max="4" width="12" style="2" bestFit="1" customWidth="1"/>
    <col min="5" max="6" width="8.7265625" style="2"/>
    <col min="7" max="7" width="14.08984375" style="2" customWidth="1"/>
    <col min="8" max="8" width="8.7265625" style="2"/>
    <col min="9" max="12" width="15.6328125" style="2" customWidth="1"/>
    <col min="13" max="14" width="8.7265625" style="2" customWidth="1"/>
    <col min="15" max="17" width="34.6328125" style="2" customWidth="1"/>
    <col min="18" max="16384" width="8.7265625" style="2"/>
  </cols>
  <sheetData>
    <row r="1" spans="1:17" ht="71" customHeight="1" thickBot="1" x14ac:dyDescent="0.4"/>
    <row r="2" spans="1:17" ht="65" customHeight="1" thickBot="1" x14ac:dyDescent="0.4">
      <c r="A2" s="188" t="s">
        <v>2367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90"/>
    </row>
    <row r="3" spans="1:17" ht="35.5" customHeight="1" x14ac:dyDescent="0.35">
      <c r="A3" s="168" t="s">
        <v>33</v>
      </c>
      <c r="B3" s="165"/>
      <c r="C3" s="165"/>
      <c r="D3" s="165"/>
      <c r="E3" s="165"/>
      <c r="F3" s="165"/>
      <c r="G3" s="165"/>
      <c r="H3" s="187" t="s">
        <v>31</v>
      </c>
      <c r="I3" s="187"/>
      <c r="J3" s="187"/>
      <c r="K3" s="187"/>
      <c r="L3" s="187"/>
      <c r="M3" s="162" t="s">
        <v>2345</v>
      </c>
      <c r="N3" s="162"/>
      <c r="O3" s="162"/>
      <c r="P3" s="162"/>
      <c r="Q3" s="169"/>
    </row>
    <row r="4" spans="1:17" x14ac:dyDescent="0.35">
      <c r="A4" s="24"/>
      <c r="Q4" s="17"/>
    </row>
    <row r="5" spans="1:17" ht="31" x14ac:dyDescent="0.35">
      <c r="A5" s="24"/>
      <c r="C5" s="3" t="s">
        <v>65</v>
      </c>
      <c r="M5" s="142" t="s">
        <v>68</v>
      </c>
      <c r="Q5" s="17"/>
    </row>
    <row r="6" spans="1:17" x14ac:dyDescent="0.35">
      <c r="A6" s="24"/>
      <c r="C6" s="2" t="s">
        <v>57</v>
      </c>
      <c r="D6" s="2">
        <v>125</v>
      </c>
      <c r="G6" s="69">
        <f>D16</f>
        <v>18.149769827918448</v>
      </c>
      <c r="Q6" s="17"/>
    </row>
    <row r="7" spans="1:17" x14ac:dyDescent="0.35">
      <c r="A7" s="24"/>
      <c r="C7" s="2" t="s">
        <v>58</v>
      </c>
      <c r="D7" s="2">
        <v>10</v>
      </c>
      <c r="F7" s="2">
        <v>10</v>
      </c>
      <c r="G7" s="2">
        <f t="dataTable" ref="G7:G28" dt2D="0" dtr="0" r1="D9" ca="1"/>
        <v>1.674580638882731E-32</v>
      </c>
      <c r="Q7" s="17"/>
    </row>
    <row r="8" spans="1:17" x14ac:dyDescent="0.35">
      <c r="A8" s="24"/>
      <c r="E8" s="63"/>
      <c r="F8" s="2">
        <v>20</v>
      </c>
      <c r="G8" s="2">
        <v>5.7091065637182391E-17</v>
      </c>
      <c r="Q8" s="17"/>
    </row>
    <row r="9" spans="1:17" x14ac:dyDescent="0.35">
      <c r="A9" s="24"/>
      <c r="C9" s="2" t="s">
        <v>66</v>
      </c>
      <c r="D9" s="70">
        <f>(D6-D7)*EXP(D11*D12)</f>
        <v>120.89617608324278</v>
      </c>
      <c r="F9" s="2">
        <v>30</v>
      </c>
      <c r="G9" s="2">
        <v>3.0417399228089097E-10</v>
      </c>
      <c r="Q9" s="17"/>
    </row>
    <row r="10" spans="1:17" x14ac:dyDescent="0.35">
      <c r="A10" s="24"/>
      <c r="C10" s="2" t="s">
        <v>60</v>
      </c>
      <c r="D10" s="2">
        <v>105</v>
      </c>
      <c r="F10" s="2">
        <v>40</v>
      </c>
      <c r="G10" s="2">
        <v>1.6493262254691141E-6</v>
      </c>
      <c r="Q10" s="17"/>
    </row>
    <row r="11" spans="1:17" x14ac:dyDescent="0.35">
      <c r="A11" s="24"/>
      <c r="C11" s="2" t="s">
        <v>1</v>
      </c>
      <c r="D11" s="2">
        <v>0.05</v>
      </c>
      <c r="E11" s="63" t="s">
        <v>59</v>
      </c>
      <c r="F11" s="2">
        <v>50</v>
      </c>
      <c r="G11" s="2">
        <v>3.4165197947325782E-4</v>
      </c>
      <c r="Q11" s="17"/>
    </row>
    <row r="12" spans="1:17" x14ac:dyDescent="0.35">
      <c r="A12" s="24"/>
      <c r="C12" s="2" t="s">
        <v>10</v>
      </c>
      <c r="D12" s="2">
        <v>1</v>
      </c>
      <c r="F12" s="2">
        <v>60</v>
      </c>
      <c r="G12" s="2">
        <v>1.1517735817836633E-2</v>
      </c>
      <c r="Q12" s="17"/>
    </row>
    <row r="13" spans="1:17" x14ac:dyDescent="0.35">
      <c r="A13" s="24"/>
      <c r="C13" s="2" t="s">
        <v>61</v>
      </c>
      <c r="D13" s="2">
        <v>0.2</v>
      </c>
      <c r="F13" s="2">
        <v>70</v>
      </c>
      <c r="G13" s="2">
        <v>0.12816173370731176</v>
      </c>
      <c r="Q13" s="17"/>
    </row>
    <row r="14" spans="1:17" x14ac:dyDescent="0.35">
      <c r="A14" s="24"/>
      <c r="F14" s="2">
        <v>80</v>
      </c>
      <c r="G14" s="2">
        <v>0.69586785874988699</v>
      </c>
      <c r="Q14" s="17"/>
    </row>
    <row r="15" spans="1:17" x14ac:dyDescent="0.35">
      <c r="A15" s="24"/>
      <c r="B15" s="2" t="s">
        <v>62</v>
      </c>
      <c r="C15" s="4" t="s">
        <v>63</v>
      </c>
      <c r="D15" s="4" cm="1">
        <f t="array" ref="D15">Black_Put(D9,D10,D11,D13,D12)</f>
        <v>3.0288594004933991</v>
      </c>
      <c r="F15" s="2">
        <v>90</v>
      </c>
      <c r="G15" s="2">
        <v>2.3332049879610253</v>
      </c>
      <c r="Q15" s="17"/>
    </row>
    <row r="16" spans="1:17" x14ac:dyDescent="0.35">
      <c r="A16" s="24"/>
      <c r="C16" s="4" t="s">
        <v>64</v>
      </c>
      <c r="D16" s="71" cm="1">
        <f t="array" ref="D16">Black_Call(D9,D10,D11,D13,D12)</f>
        <v>18.149769827918448</v>
      </c>
      <c r="F16" s="2">
        <v>100</v>
      </c>
      <c r="G16" s="2">
        <v>5.6175742792829126</v>
      </c>
      <c r="Q16" s="17"/>
    </row>
    <row r="17" spans="1:17" x14ac:dyDescent="0.35">
      <c r="A17" s="24"/>
      <c r="F17" s="2">
        <v>110</v>
      </c>
      <c r="G17" s="2">
        <v>10.742012793561727</v>
      </c>
      <c r="Q17" s="17"/>
    </row>
    <row r="18" spans="1:17" x14ac:dyDescent="0.35">
      <c r="A18" s="24"/>
      <c r="F18" s="2">
        <v>120</v>
      </c>
      <c r="G18" s="2">
        <v>17.481318763472828</v>
      </c>
      <c r="Q18" s="17"/>
    </row>
    <row r="19" spans="1:17" x14ac:dyDescent="0.35">
      <c r="A19" s="24"/>
      <c r="F19" s="2">
        <v>130</v>
      </c>
      <c r="G19" s="2">
        <v>25.400098820801489</v>
      </c>
      <c r="Q19" s="17"/>
    </row>
    <row r="20" spans="1:17" x14ac:dyDescent="0.35">
      <c r="A20" s="24"/>
      <c r="F20" s="2">
        <v>140</v>
      </c>
      <c r="G20" s="2">
        <v>34.067007366837899</v>
      </c>
      <c r="Q20" s="17"/>
    </row>
    <row r="21" spans="1:17" x14ac:dyDescent="0.35">
      <c r="A21" s="24"/>
      <c r="F21" s="2">
        <v>150</v>
      </c>
      <c r="G21" s="2">
        <v>43.159338254183027</v>
      </c>
      <c r="Q21" s="17"/>
    </row>
    <row r="22" spans="1:17" x14ac:dyDescent="0.35">
      <c r="A22" s="24"/>
      <c r="F22" s="2">
        <v>160</v>
      </c>
      <c r="G22" s="2">
        <v>52.473841653137939</v>
      </c>
      <c r="Q22" s="17"/>
    </row>
    <row r="23" spans="1:17" x14ac:dyDescent="0.35">
      <c r="A23" s="24"/>
      <c r="F23" s="2">
        <v>170</v>
      </c>
      <c r="G23" s="2">
        <v>61.896891898532417</v>
      </c>
      <c r="Q23" s="17"/>
    </row>
    <row r="24" spans="1:17" x14ac:dyDescent="0.35">
      <c r="A24" s="24"/>
      <c r="F24" s="2">
        <v>180</v>
      </c>
      <c r="G24" s="2">
        <v>71.370272755178362</v>
      </c>
      <c r="Q24" s="17"/>
    </row>
    <row r="25" spans="1:17" x14ac:dyDescent="0.35">
      <c r="A25" s="24"/>
      <c r="F25" s="2">
        <v>190</v>
      </c>
      <c r="G25" s="2">
        <v>80.866052205714539</v>
      </c>
      <c r="Q25" s="17"/>
    </row>
    <row r="26" spans="1:17" x14ac:dyDescent="0.35">
      <c r="A26" s="24"/>
      <c r="F26" s="2">
        <v>200</v>
      </c>
      <c r="G26" s="2">
        <v>90.37148436583098</v>
      </c>
      <c r="Q26" s="17"/>
    </row>
    <row r="27" spans="1:17" x14ac:dyDescent="0.35">
      <c r="A27" s="24"/>
      <c r="F27" s="2">
        <v>210</v>
      </c>
      <c r="G27" s="2">
        <v>99.880973510116675</v>
      </c>
      <c r="Q27" s="17"/>
    </row>
    <row r="28" spans="1:17" x14ac:dyDescent="0.35">
      <c r="A28" s="24"/>
      <c r="F28" s="2">
        <v>220</v>
      </c>
      <c r="G28" s="2">
        <v>109.39213514626395</v>
      </c>
      <c r="Q28" s="17"/>
    </row>
    <row r="29" spans="1:17" x14ac:dyDescent="0.35">
      <c r="A29" s="24"/>
      <c r="Q29" s="17"/>
    </row>
    <row r="30" spans="1:17" x14ac:dyDescent="0.35">
      <c r="A30" s="24"/>
      <c r="G30" s="72">
        <f>D16</f>
        <v>18.149769827918448</v>
      </c>
      <c r="Q30" s="17"/>
    </row>
    <row r="31" spans="1:17" x14ac:dyDescent="0.35">
      <c r="A31" s="24"/>
      <c r="F31" s="2">
        <v>0.1</v>
      </c>
      <c r="G31" s="2">
        <f t="dataTable" ref="G31:G40" dt2D="0" dtr="0" r1="D13"/>
        <v>15.505218508799018</v>
      </c>
      <c r="Q31" s="17"/>
    </row>
    <row r="32" spans="1:17" x14ac:dyDescent="0.35">
      <c r="A32" s="24"/>
      <c r="E32" s="2" t="s">
        <v>69</v>
      </c>
      <c r="F32" s="2">
        <v>0.2</v>
      </c>
      <c r="G32" s="2">
        <v>18.149769827918448</v>
      </c>
      <c r="Q32" s="17"/>
    </row>
    <row r="33" spans="1:17" x14ac:dyDescent="0.35">
      <c r="A33" s="24"/>
      <c r="F33" s="2">
        <v>0.3</v>
      </c>
      <c r="G33" s="2">
        <v>21.74672521592607</v>
      </c>
      <c r="Q33" s="17"/>
    </row>
    <row r="34" spans="1:17" x14ac:dyDescent="0.35">
      <c r="A34" s="24"/>
      <c r="F34" s="2">
        <v>0.4</v>
      </c>
      <c r="G34" s="2">
        <v>25.622576915749491</v>
      </c>
      <c r="Q34" s="17"/>
    </row>
    <row r="35" spans="1:17" x14ac:dyDescent="0.35">
      <c r="A35" s="24"/>
      <c r="F35" s="2">
        <v>0.5</v>
      </c>
      <c r="G35" s="2">
        <v>29.588856346497138</v>
      </c>
      <c r="Q35" s="17"/>
    </row>
    <row r="36" spans="1:17" x14ac:dyDescent="0.35">
      <c r="A36" s="24"/>
      <c r="F36" s="2">
        <v>0.6</v>
      </c>
      <c r="G36" s="2">
        <v>33.571255281530625</v>
      </c>
      <c r="Q36" s="17"/>
    </row>
    <row r="37" spans="1:17" x14ac:dyDescent="0.35">
      <c r="A37" s="24"/>
      <c r="F37" s="2">
        <v>0.7</v>
      </c>
      <c r="G37" s="2">
        <v>37.531678656810172</v>
      </c>
      <c r="Q37" s="17"/>
    </row>
    <row r="38" spans="1:17" x14ac:dyDescent="0.35">
      <c r="A38" s="24"/>
      <c r="F38" s="2">
        <v>0.8</v>
      </c>
      <c r="G38" s="2">
        <v>41.446502582000853</v>
      </c>
      <c r="Q38" s="17"/>
    </row>
    <row r="39" spans="1:17" x14ac:dyDescent="0.35">
      <c r="A39" s="24"/>
      <c r="F39" s="2">
        <v>0.9</v>
      </c>
      <c r="G39" s="2">
        <v>45.2989888776928</v>
      </c>
      <c r="Q39" s="17"/>
    </row>
    <row r="40" spans="1:17" x14ac:dyDescent="0.35">
      <c r="A40" s="24"/>
      <c r="F40" s="2">
        <v>1</v>
      </c>
      <c r="G40" s="2">
        <v>49.076194555806296</v>
      </c>
      <c r="Q40" s="17"/>
    </row>
    <row r="41" spans="1:17" x14ac:dyDescent="0.35">
      <c r="A41" s="24"/>
      <c r="Q41" s="17"/>
    </row>
    <row r="42" spans="1:17" x14ac:dyDescent="0.35">
      <c r="A42" s="24"/>
      <c r="Q42" s="17"/>
    </row>
    <row r="43" spans="1:17" x14ac:dyDescent="0.35">
      <c r="A43" s="24"/>
      <c r="C43" s="2" t="s">
        <v>67</v>
      </c>
      <c r="Q43" s="17"/>
    </row>
    <row r="44" spans="1:17" x14ac:dyDescent="0.35">
      <c r="A44" s="24"/>
      <c r="B44" s="72">
        <f>D16</f>
        <v>18.149769827918448</v>
      </c>
      <c r="C44" s="2">
        <v>0.1</v>
      </c>
      <c r="D44" s="2">
        <v>0.2</v>
      </c>
      <c r="E44" s="2">
        <v>0.3</v>
      </c>
      <c r="F44" s="2">
        <v>0.4</v>
      </c>
      <c r="G44" s="2">
        <v>0.5</v>
      </c>
      <c r="I44" s="72"/>
      <c r="J44" s="72">
        <f t="shared" ref="J44:L44" si="0">C44</f>
        <v>0.1</v>
      </c>
      <c r="K44" s="72">
        <f t="shared" si="0"/>
        <v>0.2</v>
      </c>
      <c r="L44" s="72">
        <f t="shared" si="0"/>
        <v>0.3</v>
      </c>
      <c r="M44" s="72">
        <f>F44</f>
        <v>0.4</v>
      </c>
      <c r="N44" s="72">
        <f>G44</f>
        <v>0.5</v>
      </c>
      <c r="O44" s="72"/>
      <c r="P44" s="72"/>
      <c r="Q44" s="17"/>
    </row>
    <row r="45" spans="1:17" x14ac:dyDescent="0.35">
      <c r="A45" s="24" t="s">
        <v>59</v>
      </c>
      <c r="B45" s="2">
        <v>10</v>
      </c>
      <c r="C45" s="2">
        <f t="dataTable" ref="C45:G66" dt2D="1" dtr="1" r1="D13" r2="D9" ca="1"/>
        <v>1.9244246579639128E-123</v>
      </c>
      <c r="D45" s="2">
        <v>1.674580638882731E-32</v>
      </c>
      <c r="E45" s="2">
        <v>2.5921417814869658E-15</v>
      </c>
      <c r="F45" s="2">
        <v>4.0443670102189372E-9</v>
      </c>
      <c r="G45" s="2">
        <v>3.7796564779876446E-6</v>
      </c>
      <c r="I45" s="72">
        <f t="shared" ref="I45:I66" si="1">B45</f>
        <v>10</v>
      </c>
      <c r="J45" s="73">
        <v>2.8720593223545507E-128</v>
      </c>
      <c r="K45" s="73">
        <v>9.9135437280406272E-34</v>
      </c>
      <c r="L45" s="73">
        <v>7.123559160748391E-16</v>
      </c>
      <c r="M45" s="73">
        <v>1.9036211496880099E-9</v>
      </c>
      <c r="N45" s="73">
        <v>2.2837844539228283E-6</v>
      </c>
      <c r="O45" s="73"/>
      <c r="P45" s="73"/>
      <c r="Q45" s="17"/>
    </row>
    <row r="46" spans="1:17" x14ac:dyDescent="0.35">
      <c r="A46" s="24"/>
      <c r="B46" s="2">
        <v>20</v>
      </c>
      <c r="C46" s="2">
        <v>1.220054674651914E-62</v>
      </c>
      <c r="D46" s="2">
        <v>5.7091065637182391E-17</v>
      </c>
      <c r="E46" s="2">
        <v>3.5875730484484208E-8</v>
      </c>
      <c r="F46" s="2">
        <v>6.3544761346913912E-5</v>
      </c>
      <c r="G46" s="2">
        <v>2.5346348404561847E-3</v>
      </c>
      <c r="I46" s="72">
        <f t="shared" si="1"/>
        <v>20</v>
      </c>
      <c r="J46" s="73">
        <v>4.5061726566384567E-66</v>
      </c>
      <c r="K46" s="73">
        <v>7.456891281027028E-18</v>
      </c>
      <c r="L46" s="73">
        <v>1.3918132927488592E-8</v>
      </c>
      <c r="M46" s="73">
        <v>3.614873903145659E-5</v>
      </c>
      <c r="N46" s="73">
        <v>1.7237864649248865E-3</v>
      </c>
      <c r="O46" s="73"/>
      <c r="P46" s="73"/>
      <c r="Q46" s="17"/>
    </row>
    <row r="47" spans="1:17" x14ac:dyDescent="0.35">
      <c r="A47" s="24"/>
      <c r="B47" s="2">
        <v>30</v>
      </c>
      <c r="C47" s="2">
        <v>1.1079948552679623E-36</v>
      </c>
      <c r="D47" s="2">
        <v>3.0417399228089097E-10</v>
      </c>
      <c r="E47" s="2">
        <v>5.1212168977085712E-5</v>
      </c>
      <c r="F47" s="2">
        <v>4.9942187371283808E-3</v>
      </c>
      <c r="G47" s="2">
        <v>5.1239195859208775E-2</v>
      </c>
      <c r="I47" s="72">
        <f t="shared" si="1"/>
        <v>30</v>
      </c>
      <c r="J47" s="73">
        <v>2.6534824447908352E-39</v>
      </c>
      <c r="K47" s="73">
        <v>6.2710878709740804E-11</v>
      </c>
      <c r="L47" s="73">
        <v>2.4183756518897598E-5</v>
      </c>
      <c r="M47" s="73">
        <v>3.1615182677433434E-3</v>
      </c>
      <c r="N47" s="73">
        <v>3.7230255180838057E-2</v>
      </c>
      <c r="O47" s="73"/>
      <c r="P47" s="73"/>
      <c r="Q47" s="17"/>
    </row>
    <row r="48" spans="1:17" x14ac:dyDescent="0.35">
      <c r="A48" s="24"/>
      <c r="B48" s="2">
        <v>40</v>
      </c>
      <c r="C48" s="2">
        <v>1.5239800064598879E-22</v>
      </c>
      <c r="D48" s="2">
        <v>1.6493262254691141E-6</v>
      </c>
      <c r="E48" s="2">
        <v>3.1853440615515621E-3</v>
      </c>
      <c r="F48" s="2">
        <v>6.35027453361936E-2</v>
      </c>
      <c r="G48" s="2">
        <v>0.30737039156453627</v>
      </c>
      <c r="I48" s="72">
        <f t="shared" si="1"/>
        <v>40</v>
      </c>
      <c r="J48" s="73">
        <v>1.3641620058859081E-24</v>
      </c>
      <c r="K48" s="73">
        <v>4.672793800698454E-7</v>
      </c>
      <c r="L48" s="73">
        <v>1.7219953144027196E-3</v>
      </c>
      <c r="M48" s="73">
        <v>4.3237151521182016E-2</v>
      </c>
      <c r="N48" s="73">
        <v>0.23356955043365812</v>
      </c>
      <c r="O48" s="73"/>
      <c r="P48" s="73"/>
      <c r="Q48" s="17"/>
    </row>
    <row r="49" spans="1:17" x14ac:dyDescent="0.35">
      <c r="A49" s="24"/>
      <c r="B49" s="2">
        <v>50</v>
      </c>
      <c r="C49" s="2">
        <v>5.2767977681776928E-14</v>
      </c>
      <c r="D49" s="2">
        <v>3.4165197947325782E-4</v>
      </c>
      <c r="E49" s="2">
        <v>4.4605652424364761E-2</v>
      </c>
      <c r="F49" s="2">
        <v>0.3371772765499057</v>
      </c>
      <c r="G49" s="2">
        <v>1.0243535468868048</v>
      </c>
      <c r="I49" s="72">
        <f t="shared" si="1"/>
        <v>50</v>
      </c>
      <c r="J49" s="73">
        <v>1.3013889529534217E-15</v>
      </c>
      <c r="K49" s="73">
        <v>1.231015145297513E-4</v>
      </c>
      <c r="L49" s="73">
        <v>2.6676840176190431E-2</v>
      </c>
      <c r="M49" s="73">
        <v>0.24231824691642556</v>
      </c>
      <c r="N49" s="73">
        <v>0.80460836456045071</v>
      </c>
      <c r="O49" s="73"/>
      <c r="P49" s="73"/>
      <c r="Q49" s="17"/>
    </row>
    <row r="50" spans="1:17" x14ac:dyDescent="0.35">
      <c r="A50" s="24"/>
      <c r="B50" s="2">
        <v>60</v>
      </c>
      <c r="C50" s="2">
        <v>1.3946253231400986E-8</v>
      </c>
      <c r="D50" s="2">
        <v>1.1517735817836633E-2</v>
      </c>
      <c r="E50" s="2">
        <v>0.27144554366306117</v>
      </c>
      <c r="F50" s="2">
        <v>1.0941580523614265</v>
      </c>
      <c r="G50" s="2">
        <v>2.4427117031559202</v>
      </c>
      <c r="I50" s="72">
        <f t="shared" si="1"/>
        <v>60</v>
      </c>
      <c r="J50" s="73">
        <v>7.7807204867162343E-10</v>
      </c>
      <c r="K50" s="73">
        <v>5.0174587706870305E-3</v>
      </c>
      <c r="L50" s="73">
        <v>0.17566345033605146</v>
      </c>
      <c r="M50" s="73">
        <v>0.8200630425393669</v>
      </c>
      <c r="N50" s="73">
        <v>1.9686745438312068</v>
      </c>
      <c r="O50" s="73"/>
      <c r="P50" s="73"/>
      <c r="Q50" s="17"/>
    </row>
    <row r="51" spans="1:17" x14ac:dyDescent="0.35">
      <c r="A51" s="24"/>
      <c r="B51" s="2">
        <v>70</v>
      </c>
      <c r="C51" s="2">
        <v>4.561979729048992E-5</v>
      </c>
      <c r="D51" s="2">
        <v>0.12816173370731176</v>
      </c>
      <c r="E51" s="2">
        <v>0.98939815282637866</v>
      </c>
      <c r="F51" s="2">
        <v>2.6142811603371499</v>
      </c>
      <c r="G51" s="2">
        <v>4.7197093462508892</v>
      </c>
      <c r="I51" s="72">
        <f t="shared" si="1"/>
        <v>70</v>
      </c>
      <c r="J51" s="73">
        <v>4.9949500391959943E-6</v>
      </c>
      <c r="K51" s="73">
        <v>6.5077724028545503E-2</v>
      </c>
      <c r="L51" s="73">
        <v>0.6820406420636802</v>
      </c>
      <c r="M51" s="73">
        <v>2.0263680522372152</v>
      </c>
      <c r="N51" s="73">
        <v>3.8830228341554616</v>
      </c>
      <c r="O51" s="73"/>
      <c r="P51" s="73"/>
      <c r="Q51" s="17"/>
    </row>
    <row r="52" spans="1:17" x14ac:dyDescent="0.35">
      <c r="A52" s="24"/>
      <c r="B52" s="2">
        <v>80</v>
      </c>
      <c r="C52" s="2">
        <v>8.6651970816787882E-3</v>
      </c>
      <c r="D52" s="2">
        <v>0.69586785874988699</v>
      </c>
      <c r="E52" s="2">
        <v>2.5779623085561969</v>
      </c>
      <c r="F52" s="2">
        <v>5.0976214835787594</v>
      </c>
      <c r="G52" s="2">
        <v>7.9166602715879648</v>
      </c>
      <c r="I52" s="72">
        <f t="shared" si="1"/>
        <v>80</v>
      </c>
      <c r="J52" s="73">
        <v>1.663222562493738E-3</v>
      </c>
      <c r="K52" s="73">
        <v>0.40033386020632022</v>
      </c>
      <c r="L52" s="73">
        <v>1.870813359809274</v>
      </c>
      <c r="M52" s="73">
        <v>4.0611376094415963</v>
      </c>
      <c r="N52" s="73">
        <v>6.6242322659675956</v>
      </c>
      <c r="O52" s="73"/>
      <c r="P52" s="73"/>
      <c r="Q52" s="17"/>
    </row>
    <row r="53" spans="1:17" x14ac:dyDescent="0.35">
      <c r="A53" s="24"/>
      <c r="B53" s="2">
        <v>90</v>
      </c>
      <c r="C53" s="2">
        <v>0.24614459165334956</v>
      </c>
      <c r="D53" s="2">
        <v>2.3332049879610253</v>
      </c>
      <c r="E53" s="2">
        <v>5.3386507492685844</v>
      </c>
      <c r="F53" s="2">
        <v>8.6291276376706563</v>
      </c>
      <c r="G53" s="2">
        <v>12.018173972684838</v>
      </c>
      <c r="I53" s="72">
        <f t="shared" si="1"/>
        <v>90</v>
      </c>
      <c r="J53" s="73">
        <v>7.5005299743335696E-2</v>
      </c>
      <c r="K53" s="73">
        <v>1.4858982083803074</v>
      </c>
      <c r="L53" s="73">
        <v>4.0409864038733083</v>
      </c>
      <c r="M53" s="73">
        <v>7.032386966561738</v>
      </c>
      <c r="N53" s="73">
        <v>10.198740562789233</v>
      </c>
      <c r="O53" s="73"/>
      <c r="P53" s="73"/>
      <c r="Q53" s="17"/>
    </row>
    <row r="54" spans="1:17" x14ac:dyDescent="0.35">
      <c r="A54" s="24"/>
      <c r="B54" s="2">
        <v>100</v>
      </c>
      <c r="C54" s="2">
        <v>1.9633557367019705</v>
      </c>
      <c r="D54" s="2">
        <v>5.6175742792829126</v>
      </c>
      <c r="E54" s="2">
        <v>9.3997216477079277</v>
      </c>
      <c r="F54" s="2">
        <v>13.191013184800333</v>
      </c>
      <c r="G54" s="2">
        <v>16.959512519352494</v>
      </c>
      <c r="I54" s="72">
        <f t="shared" si="1"/>
        <v>100</v>
      </c>
      <c r="J54" s="73">
        <v>0.86316729499023026</v>
      </c>
      <c r="K54" s="73">
        <v>3.8835720984074094</v>
      </c>
      <c r="L54" s="73">
        <v>7.3662923225844175</v>
      </c>
      <c r="M54" s="73">
        <v>10.955897336610171</v>
      </c>
      <c r="N54" s="73">
        <v>14.563974613624872</v>
      </c>
      <c r="O54" s="73"/>
      <c r="P54" s="73"/>
      <c r="Q54" s="17"/>
    </row>
    <row r="55" spans="1:17" x14ac:dyDescent="0.35">
      <c r="A55" s="24"/>
      <c r="B55" s="2">
        <v>110</v>
      </c>
      <c r="C55" s="2">
        <v>6.8888357301042191</v>
      </c>
      <c r="D55" s="2">
        <v>10.742012793561727</v>
      </c>
      <c r="E55" s="2">
        <v>14.715916645278249</v>
      </c>
      <c r="F55" s="2">
        <v>18.695843730582254</v>
      </c>
      <c r="G55" s="2">
        <v>22.650418398056644</v>
      </c>
      <c r="I55" s="72">
        <f t="shared" si="1"/>
        <v>110</v>
      </c>
      <c r="J55" s="73">
        <v>3.9691030705729275</v>
      </c>
      <c r="K55" s="73">
        <v>7.9282978384947143</v>
      </c>
      <c r="L55" s="73">
        <v>11.867750143381514</v>
      </c>
      <c r="M55" s="73">
        <v>15.777773185494837</v>
      </c>
      <c r="N55" s="73">
        <v>19.648898912445702</v>
      </c>
      <c r="O55" s="73"/>
      <c r="P55" s="73"/>
      <c r="Q55" s="17"/>
    </row>
    <row r="56" spans="1:17" x14ac:dyDescent="0.35">
      <c r="A56" s="24"/>
      <c r="B56" s="2">
        <v>120</v>
      </c>
      <c r="C56" s="2">
        <v>14.718798046878007</v>
      </c>
      <c r="D56" s="2">
        <v>17.481318763472828</v>
      </c>
      <c r="E56" s="2">
        <v>21.125921342244716</v>
      </c>
      <c r="F56" s="2">
        <v>25.020323918959853</v>
      </c>
      <c r="G56" s="2">
        <v>28.992096277518677</v>
      </c>
      <c r="I56" s="72">
        <f t="shared" si="1"/>
        <v>120</v>
      </c>
      <c r="J56" s="73">
        <v>10.150032160218416</v>
      </c>
      <c r="K56" s="73">
        <v>13.581961009657142</v>
      </c>
      <c r="L56" s="73">
        <v>17.445331510373592</v>
      </c>
      <c r="M56" s="73">
        <v>21.402401627175337</v>
      </c>
      <c r="N56" s="73">
        <v>25.369832257406799</v>
      </c>
      <c r="O56" s="73"/>
      <c r="P56" s="73"/>
      <c r="Q56" s="17"/>
    </row>
    <row r="57" spans="1:17" x14ac:dyDescent="0.35">
      <c r="A57" s="24"/>
      <c r="B57" s="2">
        <v>130</v>
      </c>
      <c r="C57" s="2">
        <v>23.845764871490942</v>
      </c>
      <c r="D57" s="2">
        <v>25.400098820801489</v>
      </c>
      <c r="E57" s="2">
        <v>28.419313046016057</v>
      </c>
      <c r="F57" s="2">
        <v>32.030994672982366</v>
      </c>
      <c r="G57" s="2">
        <v>35.887796949353181</v>
      </c>
      <c r="I57" s="72">
        <f t="shared" si="1"/>
        <v>130</v>
      </c>
      <c r="J57" s="73">
        <v>18.309083571506918</v>
      </c>
      <c r="K57" s="73">
        <v>20.53296244748104</v>
      </c>
      <c r="L57" s="73">
        <v>23.931699616708755</v>
      </c>
      <c r="M57" s="73">
        <v>27.716260677736138</v>
      </c>
      <c r="N57" s="73">
        <v>31.641063857914162</v>
      </c>
      <c r="O57" s="73"/>
      <c r="P57" s="73"/>
      <c r="Q57" s="17"/>
    </row>
    <row r="58" spans="1:17" x14ac:dyDescent="0.35">
      <c r="A58" s="24"/>
      <c r="B58" s="2">
        <v>140</v>
      </c>
      <c r="C58" s="2">
        <v>33.299787397208391</v>
      </c>
      <c r="D58" s="2">
        <v>34.067007366837899</v>
      </c>
      <c r="E58" s="2">
        <v>36.386363696744382</v>
      </c>
      <c r="F58" s="2">
        <v>39.600393574355138</v>
      </c>
      <c r="G58" s="2">
        <v>43.248593430609361</v>
      </c>
      <c r="I58" s="72">
        <f t="shared" si="1"/>
        <v>140</v>
      </c>
      <c r="J58" s="73">
        <v>27.174586466315233</v>
      </c>
      <c r="K58" s="73">
        <v>28.385907652982752</v>
      </c>
      <c r="L58" s="73">
        <v>31.140246150437775</v>
      </c>
      <c r="M58" s="73">
        <v>34.604530733514395</v>
      </c>
      <c r="N58" s="73">
        <v>38.381205515912185</v>
      </c>
      <c r="O58" s="73"/>
      <c r="P58" s="73"/>
      <c r="Q58" s="17"/>
    </row>
    <row r="59" spans="1:17" x14ac:dyDescent="0.35">
      <c r="A59" s="24"/>
      <c r="B59" s="2">
        <v>150</v>
      </c>
      <c r="C59" s="2">
        <v>42.805857767004852</v>
      </c>
      <c r="D59" s="2">
        <v>43.159338254183027</v>
      </c>
      <c r="E59" s="2">
        <v>44.845186340704515</v>
      </c>
      <c r="F59" s="2">
        <v>47.615432404277541</v>
      </c>
      <c r="G59" s="2">
        <v>50.995948014126</v>
      </c>
      <c r="I59" s="72">
        <f t="shared" si="1"/>
        <v>150</v>
      </c>
      <c r="J59" s="73">
        <v>36.196582176050484</v>
      </c>
      <c r="K59" s="73">
        <v>36.797475039314918</v>
      </c>
      <c r="L59" s="73">
        <v>38.896528484474402</v>
      </c>
      <c r="M59" s="73">
        <v>41.96093309658248</v>
      </c>
      <c r="N59" s="73">
        <v>45.516495971166037</v>
      </c>
      <c r="O59" s="73"/>
      <c r="P59" s="73"/>
      <c r="Q59" s="17"/>
    </row>
    <row r="60" spans="1:17" x14ac:dyDescent="0.35">
      <c r="A60" s="24"/>
      <c r="B60" s="2">
        <v>160</v>
      </c>
      <c r="C60" s="2">
        <v>52.317652008031885</v>
      </c>
      <c r="D60" s="2">
        <v>52.473841653137939</v>
      </c>
      <c r="E60" s="2">
        <v>53.651196304320223</v>
      </c>
      <c r="F60" s="2">
        <v>55.98047653400036</v>
      </c>
      <c r="G60" s="2">
        <v>59.062319521862491</v>
      </c>
      <c r="I60" s="72">
        <f t="shared" si="1"/>
        <v>160</v>
      </c>
      <c r="J60" s="73">
        <v>45.242126342549923</v>
      </c>
      <c r="K60" s="73">
        <v>45.525025375619947</v>
      </c>
      <c r="L60" s="73">
        <v>47.053540887159457</v>
      </c>
      <c r="M60" s="73">
        <v>49.692464702554034</v>
      </c>
      <c r="N60" s="73">
        <v>52.982114632640659</v>
      </c>
      <c r="O60" s="73"/>
      <c r="P60" s="73"/>
      <c r="Q60" s="17"/>
    </row>
    <row r="61" spans="1:17" x14ac:dyDescent="0.35">
      <c r="A61" s="24"/>
      <c r="B61" s="2">
        <v>170</v>
      </c>
      <c r="C61" s="2">
        <v>61.829914361984706</v>
      </c>
      <c r="D61" s="2">
        <v>61.896891898532417</v>
      </c>
      <c r="E61" s="2">
        <v>62.696100048861439</v>
      </c>
      <c r="F61" s="2">
        <v>64.617278100021238</v>
      </c>
      <c r="G61" s="2">
        <v>67.390677308109176</v>
      </c>
      <c r="I61" s="72">
        <f t="shared" si="1"/>
        <v>170</v>
      </c>
      <c r="J61" s="73">
        <v>54.290262508667695</v>
      </c>
      <c r="K61" s="73">
        <v>54.418964235307513</v>
      </c>
      <c r="L61" s="73">
        <v>55.495648582263769</v>
      </c>
      <c r="M61" s="73">
        <v>57.720786824764659</v>
      </c>
      <c r="N61" s="73">
        <v>60.72229287796209</v>
      </c>
      <c r="O61" s="73"/>
      <c r="P61" s="73"/>
      <c r="Q61" s="17"/>
    </row>
    <row r="62" spans="1:17" x14ac:dyDescent="0.35">
      <c r="A62" s="24"/>
      <c r="B62" s="2">
        <v>180</v>
      </c>
      <c r="C62" s="2">
        <v>71.342206917879295</v>
      </c>
      <c r="D62" s="2">
        <v>71.370272755178362</v>
      </c>
      <c r="E62" s="2">
        <v>71.902168469378211</v>
      </c>
      <c r="F62" s="2">
        <v>73.46330009781633</v>
      </c>
      <c r="G62" s="2">
        <v>75.933478907289498</v>
      </c>
      <c r="I62" s="72">
        <f t="shared" si="1"/>
        <v>180</v>
      </c>
      <c r="J62" s="73">
        <v>63.338620277541366</v>
      </c>
      <c r="K62" s="73">
        <v>63.395690520112808</v>
      </c>
      <c r="L62" s="73">
        <v>64.13622115820607</v>
      </c>
      <c r="M62" s="73">
        <v>65.981672809916986</v>
      </c>
      <c r="N62" s="73">
        <v>68.689761539159463</v>
      </c>
      <c r="O62" s="73"/>
      <c r="P62" s="73"/>
      <c r="Q62" s="17"/>
    </row>
    <row r="63" spans="1:17" x14ac:dyDescent="0.35">
      <c r="A63" s="24"/>
      <c r="B63" s="2">
        <v>190</v>
      </c>
      <c r="C63" s="2">
        <v>80.854501085803605</v>
      </c>
      <c r="D63" s="2">
        <v>80.866052205714539</v>
      </c>
      <c r="E63" s="2">
        <v>81.215330946990079</v>
      </c>
      <c r="F63" s="2">
        <v>82.469403976486731</v>
      </c>
      <c r="G63" s="2">
        <v>84.651447520432924</v>
      </c>
      <c r="I63" s="72">
        <f t="shared" si="1"/>
        <v>190</v>
      </c>
      <c r="J63" s="73">
        <v>72.386993494877217</v>
      </c>
      <c r="K63" s="73">
        <v>72.411796623935984</v>
      </c>
      <c r="L63" s="73">
        <v>72.912636257528902</v>
      </c>
      <c r="M63" s="73">
        <v>74.423489706618113</v>
      </c>
      <c r="N63" s="73">
        <v>76.844880337574907</v>
      </c>
      <c r="O63" s="73"/>
      <c r="P63" s="73"/>
      <c r="Q63" s="17"/>
    </row>
    <row r="64" spans="1:17" x14ac:dyDescent="0.35">
      <c r="A64" s="24"/>
      <c r="B64" s="2">
        <v>200</v>
      </c>
      <c r="C64" s="2">
        <v>90.366795327687143</v>
      </c>
      <c r="D64" s="2">
        <v>90.37148436583098</v>
      </c>
      <c r="E64" s="2">
        <v>90.598843713614826</v>
      </c>
      <c r="F64" s="2">
        <v>91.597455153936963</v>
      </c>
      <c r="G64" s="2">
        <v>93.512339364801534</v>
      </c>
      <c r="I64" s="72">
        <f t="shared" si="1"/>
        <v>200</v>
      </c>
      <c r="J64" s="73">
        <v>81.435367625638264</v>
      </c>
      <c r="K64" s="73">
        <v>81.445978248098001</v>
      </c>
      <c r="L64" s="73">
        <v>81.780821694235414</v>
      </c>
      <c r="M64" s="73">
        <v>83.005324944001444</v>
      </c>
      <c r="N64" s="73">
        <v>85.154659127447573</v>
      </c>
      <c r="O64" s="73"/>
      <c r="P64" s="73"/>
      <c r="Q64" s="17"/>
    </row>
    <row r="65" spans="1:17" x14ac:dyDescent="0.35">
      <c r="A65" s="24"/>
      <c r="B65" s="2">
        <v>210</v>
      </c>
      <c r="C65" s="2">
        <v>99.879089572579048</v>
      </c>
      <c r="D65" s="2">
        <v>99.880973510116675</v>
      </c>
      <c r="E65" s="2">
        <v>100.02817255785763</v>
      </c>
      <c r="F65" s="2">
        <v>100.81812581371628</v>
      </c>
      <c r="G65" s="2">
        <v>102.48979906007281</v>
      </c>
      <c r="I65" s="72">
        <f t="shared" si="1"/>
        <v>210</v>
      </c>
      <c r="J65" s="73">
        <v>90.483741803698081</v>
      </c>
      <c r="K65" s="73">
        <v>90.488225729305654</v>
      </c>
      <c r="L65" s="73">
        <v>90.710383251327542</v>
      </c>
      <c r="M65" s="73">
        <v>91.695106207371438</v>
      </c>
      <c r="N65" s="73">
        <v>93.591790509940409</v>
      </c>
      <c r="O65" s="73"/>
      <c r="P65" s="73"/>
      <c r="Q65" s="17"/>
    </row>
    <row r="66" spans="1:17" x14ac:dyDescent="0.35">
      <c r="A66" s="24"/>
      <c r="B66" s="2">
        <v>220</v>
      </c>
      <c r="C66" s="2">
        <v>109.39138381758227</v>
      </c>
      <c r="D66" s="2">
        <v>109.39213514626395</v>
      </c>
      <c r="E66" s="2">
        <v>109.48715079668246</v>
      </c>
      <c r="F66" s="2">
        <v>110.10900864720327</v>
      </c>
      <c r="G66" s="2">
        <v>111.5623461082847</v>
      </c>
      <c r="I66" s="72">
        <f t="shared" si="1"/>
        <v>220</v>
      </c>
      <c r="J66" s="73">
        <v>99.532115983959628</v>
      </c>
      <c r="K66" s="73">
        <v>99.533993376818344</v>
      </c>
      <c r="L66" s="73">
        <v>99.680681064453282</v>
      </c>
      <c r="M66" s="73">
        <v>100.46789007307056</v>
      </c>
      <c r="N66" s="73">
        <v>102.13375603315959</v>
      </c>
      <c r="O66" s="73"/>
      <c r="P66" s="73"/>
      <c r="Q66" s="17"/>
    </row>
    <row r="67" spans="1:17" x14ac:dyDescent="0.35">
      <c r="A67" s="24"/>
      <c r="Q67" s="17"/>
    </row>
    <row r="68" spans="1:17" ht="16" thickBot="1" x14ac:dyDescent="0.4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20"/>
    </row>
  </sheetData>
  <mergeCells count="4">
    <mergeCell ref="M3:Q3"/>
    <mergeCell ref="A2:Q2"/>
    <mergeCell ref="A3:G3"/>
    <mergeCell ref="H3:L3"/>
  </mergeCells>
  <hyperlinks>
    <hyperlink ref="M5" r:id="rId1" xr:uid="{1FF61E76-C83B-41BD-AC7D-930A3C85C9A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Home">
                <anchor moveWithCells="1" sizeWithCells="1">
                  <from>
                    <xdr:col>0</xdr:col>
                    <xdr:colOff>50800</xdr:colOff>
                    <xdr:row>0</xdr:row>
                    <xdr:rowOff>12700</xdr:rowOff>
                  </from>
                  <to>
                    <xdr:col>1</xdr:col>
                    <xdr:colOff>304800</xdr:colOff>
                    <xdr:row>0</xdr:row>
                    <xdr:rowOff>787400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D6606-3659-4553-B0FF-55F86C167DE7}">
  <sheetPr codeName="Sheet14"/>
  <dimension ref="A1:AW259"/>
  <sheetViews>
    <sheetView showGridLines="0" topLeftCell="V20" zoomScale="70" zoomScaleNormal="110" workbookViewId="0">
      <selection activeCell="AJ31" sqref="AJ31"/>
    </sheetView>
  </sheetViews>
  <sheetFormatPr defaultRowHeight="14" x14ac:dyDescent="0.3"/>
  <cols>
    <col min="1" max="1" width="14.7265625" style="1" customWidth="1"/>
    <col min="2" max="12" width="8.7265625" style="1"/>
    <col min="13" max="13" width="10.6328125" style="1" customWidth="1"/>
    <col min="14" max="23" width="8.7265625" style="1"/>
    <col min="24" max="24" width="10.08984375" style="1" customWidth="1"/>
    <col min="25" max="35" width="8.7265625" style="1"/>
    <col min="36" max="36" width="21.7265625" style="1" customWidth="1"/>
    <col min="37" max="37" width="14.6328125" style="1" customWidth="1"/>
    <col min="38" max="38" width="11.7265625" style="1" customWidth="1"/>
    <col min="39" max="46" width="9.36328125" style="1" bestFit="1" customWidth="1"/>
    <col min="47" max="16384" width="8.7265625" style="1"/>
  </cols>
  <sheetData>
    <row r="1" spans="1:49" ht="14.5" thickBot="1" x14ac:dyDescent="0.35"/>
    <row r="2" spans="1:49" ht="14.5" thickBot="1" x14ac:dyDescent="0.35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7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8"/>
    </row>
    <row r="3" spans="1:49" ht="44" customHeight="1" thickBot="1" x14ac:dyDescent="0.35">
      <c r="A3" s="27"/>
      <c r="B3" s="191" t="s">
        <v>2286</v>
      </c>
      <c r="C3" s="192"/>
      <c r="D3" s="192"/>
      <c r="E3" s="192"/>
      <c r="F3" s="192"/>
      <c r="G3" s="192"/>
      <c r="H3" s="192"/>
      <c r="I3" s="192"/>
      <c r="J3" s="193"/>
      <c r="M3" s="74"/>
      <c r="N3" s="191" t="s">
        <v>2281</v>
      </c>
      <c r="O3" s="192"/>
      <c r="P3" s="192"/>
      <c r="Q3" s="192"/>
      <c r="R3" s="192"/>
      <c r="S3" s="192"/>
      <c r="T3" s="192"/>
      <c r="U3" s="192"/>
      <c r="V3" s="192"/>
      <c r="W3" s="193"/>
      <c r="X3" s="119" t="s">
        <v>2273</v>
      </c>
      <c r="Y3" s="74">
        <f>AVERAGE(N5:W254)</f>
        <v>1.6649591323070311E-3</v>
      </c>
      <c r="Z3" s="191" t="s">
        <v>2274</v>
      </c>
      <c r="AA3" s="192"/>
      <c r="AB3" s="192"/>
      <c r="AC3" s="192"/>
      <c r="AD3" s="192"/>
      <c r="AE3" s="192"/>
      <c r="AF3" s="192"/>
      <c r="AG3" s="192"/>
      <c r="AH3" s="193"/>
      <c r="AK3" s="191" t="s">
        <v>2282</v>
      </c>
      <c r="AL3" s="192"/>
      <c r="AM3" s="192"/>
      <c r="AN3" s="192"/>
      <c r="AO3" s="192"/>
      <c r="AP3" s="192"/>
      <c r="AQ3" s="192"/>
      <c r="AR3" s="192"/>
      <c r="AS3" s="192"/>
      <c r="AT3" s="193"/>
      <c r="AW3" s="28"/>
    </row>
    <row r="4" spans="1:49" ht="21.5" customHeight="1" x14ac:dyDescent="0.3">
      <c r="A4" s="27" t="s">
        <v>70</v>
      </c>
      <c r="B4" s="1" t="s">
        <v>71</v>
      </c>
      <c r="C4" s="1" t="s">
        <v>72</v>
      </c>
      <c r="D4" s="1" t="s">
        <v>73</v>
      </c>
      <c r="E4" s="1" t="s">
        <v>74</v>
      </c>
      <c r="F4" s="1" t="s">
        <v>75</v>
      </c>
      <c r="G4" s="1" t="s">
        <v>76</v>
      </c>
      <c r="H4" s="1" t="s">
        <v>77</v>
      </c>
      <c r="I4" s="1" t="s">
        <v>78</v>
      </c>
      <c r="J4" s="1" t="s">
        <v>79</v>
      </c>
      <c r="K4" s="1" t="s">
        <v>80</v>
      </c>
      <c r="M4" s="1" t="s">
        <v>70</v>
      </c>
      <c r="N4" s="1" t="s">
        <v>71</v>
      </c>
      <c r="O4" s="1" t="s">
        <v>72</v>
      </c>
      <c r="P4" s="1" t="s">
        <v>73</v>
      </c>
      <c r="Q4" s="1" t="s">
        <v>74</v>
      </c>
      <c r="R4" s="1" t="s">
        <v>75</v>
      </c>
      <c r="S4" s="1" t="s">
        <v>76</v>
      </c>
      <c r="T4" s="1" t="s">
        <v>77</v>
      </c>
      <c r="U4" s="1" t="s">
        <v>78</v>
      </c>
      <c r="V4" s="1" t="s">
        <v>79</v>
      </c>
      <c r="W4" s="1" t="s">
        <v>80</v>
      </c>
      <c r="Y4" s="1" t="s">
        <v>71</v>
      </c>
      <c r="Z4" s="1" t="s">
        <v>72</v>
      </c>
      <c r="AA4" s="1" t="s">
        <v>73</v>
      </c>
      <c r="AB4" s="1" t="s">
        <v>74</v>
      </c>
      <c r="AC4" s="1" t="s">
        <v>75</v>
      </c>
      <c r="AD4" s="1" t="s">
        <v>76</v>
      </c>
      <c r="AE4" s="1" t="s">
        <v>77</v>
      </c>
      <c r="AF4" s="1" t="s">
        <v>78</v>
      </c>
      <c r="AG4" s="1" t="s">
        <v>79</v>
      </c>
      <c r="AH4" s="1" t="s">
        <v>80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80</v>
      </c>
      <c r="AV4" s="74" t="s">
        <v>2275</v>
      </c>
      <c r="AW4" s="28"/>
    </row>
    <row r="5" spans="1:49" x14ac:dyDescent="0.3">
      <c r="A5" s="120">
        <v>45293</v>
      </c>
      <c r="B5" s="121" t="s">
        <v>81</v>
      </c>
      <c r="C5" s="121" t="s">
        <v>82</v>
      </c>
      <c r="D5" s="121" t="s">
        <v>83</v>
      </c>
      <c r="E5" s="121" t="s">
        <v>84</v>
      </c>
      <c r="F5" s="121" t="s">
        <v>85</v>
      </c>
      <c r="G5" s="121" t="s">
        <v>86</v>
      </c>
      <c r="H5" s="1">
        <v>367.380615234375</v>
      </c>
      <c r="I5" s="1">
        <v>468.5</v>
      </c>
      <c r="J5" s="121" t="s">
        <v>87</v>
      </c>
      <c r="K5" s="121" t="s">
        <v>88</v>
      </c>
      <c r="M5" s="122">
        <v>45293</v>
      </c>
      <c r="N5" s="1">
        <f>LN(B6/B5)</f>
        <v>-7.515751704405038E-3</v>
      </c>
      <c r="O5" s="1">
        <f t="shared" ref="O5:W5" si="0">LN(C6/C5)</f>
        <v>-2.3805391374533306E-2</v>
      </c>
      <c r="P5" s="1">
        <f t="shared" si="0"/>
        <v>-9.7855438020991482E-3</v>
      </c>
      <c r="Q5" s="1">
        <f t="shared" si="0"/>
        <v>5.4134030767144358E-3</v>
      </c>
      <c r="R5" s="1">
        <f t="shared" si="0"/>
        <v>-4.3679635986142197E-3</v>
      </c>
      <c r="S5" s="1">
        <f t="shared" si="0"/>
        <v>-5.2695698939183699E-3</v>
      </c>
      <c r="T5" s="1">
        <f t="shared" si="0"/>
        <v>-7.2827320210443083E-4</v>
      </c>
      <c r="U5" s="1">
        <f t="shared" si="0"/>
        <v>3.7496523274205048E-3</v>
      </c>
      <c r="V5" s="1">
        <f t="shared" si="0"/>
        <v>-1.2513586828797661E-2</v>
      </c>
      <c r="W5" s="1">
        <f t="shared" si="0"/>
        <v>-4.0961222799325014E-2</v>
      </c>
      <c r="Y5" s="1">
        <f>N5-$Y$3</f>
        <v>-9.1807108367120693E-3</v>
      </c>
      <c r="Z5" s="1">
        <f t="shared" ref="Z5:AH5" si="1">O5-$Y$3</f>
        <v>-2.5470350506840336E-2</v>
      </c>
      <c r="AA5" s="1">
        <f t="shared" si="1"/>
        <v>-1.1450502934406179E-2</v>
      </c>
      <c r="AB5" s="1">
        <f t="shared" si="1"/>
        <v>3.7484439444074045E-3</v>
      </c>
      <c r="AC5" s="1">
        <f t="shared" si="1"/>
        <v>-6.0329227309212511E-3</v>
      </c>
      <c r="AD5" s="1">
        <f t="shared" si="1"/>
        <v>-6.9345290262254012E-3</v>
      </c>
      <c r="AE5" s="1">
        <f t="shared" si="1"/>
        <v>-2.393232334411462E-3</v>
      </c>
      <c r="AF5" s="1">
        <f t="shared" si="1"/>
        <v>2.0846931951134734E-3</v>
      </c>
      <c r="AG5" s="1">
        <f t="shared" si="1"/>
        <v>-1.4178545961104691E-2</v>
      </c>
      <c r="AH5" s="1">
        <f t="shared" si="1"/>
        <v>-4.2626181931632048E-2</v>
      </c>
      <c r="AJ5" s="1" t="s">
        <v>71</v>
      </c>
      <c r="AK5" s="1" cm="1">
        <f t="array" ref="AK5:AT14">MMULT(TRANSPOSE(Y5:AH254),Y5:AH254)/(COUNT(Y5:Y254)-1)</f>
        <v>1.9845271764762834E-4</v>
      </c>
      <c r="AL5" s="1">
        <v>1.1583567380969636E-4</v>
      </c>
      <c r="AM5" s="1">
        <v>8.5244425737198478E-5</v>
      </c>
      <c r="AN5" s="1">
        <v>9.1268385758798502E-5</v>
      </c>
      <c r="AO5" s="1">
        <v>3.8484288712045581E-6</v>
      </c>
      <c r="AP5" s="1">
        <v>7.400218079965464E-5</v>
      </c>
      <c r="AQ5" s="1">
        <v>8.4487846684453931E-5</v>
      </c>
      <c r="AR5" s="1">
        <v>7.5095152310625211E-5</v>
      </c>
      <c r="AS5" s="1">
        <v>1.1866686505956863E-4</v>
      </c>
      <c r="AT5" s="1">
        <v>1.8765139608923226E-4</v>
      </c>
      <c r="AV5" s="1">
        <f>1/10</f>
        <v>0.1</v>
      </c>
      <c r="AW5" s="28"/>
    </row>
    <row r="6" spans="1:49" x14ac:dyDescent="0.3">
      <c r="A6" s="120">
        <v>45294</v>
      </c>
      <c r="B6" s="1">
        <v>183.150390625</v>
      </c>
      <c r="C6" s="121" t="s">
        <v>89</v>
      </c>
      <c r="D6" s="121" t="s">
        <v>90</v>
      </c>
      <c r="E6" s="121" t="s">
        <v>91</v>
      </c>
      <c r="F6" s="121" t="s">
        <v>92</v>
      </c>
      <c r="G6" s="121" t="s">
        <v>93</v>
      </c>
      <c r="H6" s="121" t="s">
        <v>94</v>
      </c>
      <c r="I6" s="1">
        <v>470.260009765625</v>
      </c>
      <c r="J6" s="121" t="s">
        <v>95</v>
      </c>
      <c r="K6" s="121" t="s">
        <v>96</v>
      </c>
      <c r="M6" s="122">
        <v>45294</v>
      </c>
      <c r="N6" s="1">
        <f t="shared" ref="N6:N69" si="2">LN(B7/B6)</f>
        <v>-1.2781470325177603E-2</v>
      </c>
      <c r="O6" s="1">
        <f t="shared" ref="O6:O69" si="3">LN(C7/C6)</f>
        <v>5.0859740190355744E-3</v>
      </c>
      <c r="P6" s="1">
        <f t="shared" ref="P6:P69" si="4">LN(D7/D6)</f>
        <v>-2.6619055871350154E-2</v>
      </c>
      <c r="Q6" s="1">
        <f t="shared" ref="Q6:Q69" si="5">LN(E7/E6)</f>
        <v>-1.8379783489873867E-2</v>
      </c>
      <c r="R6" s="1">
        <f t="shared" ref="R6:R69" si="6">LN(F7/F6)</f>
        <v>6.6142427603937543E-3</v>
      </c>
      <c r="S6" s="1">
        <f t="shared" ref="S6:S69" si="7">LN(G7/G6)</f>
        <v>7.6635494960632464E-3</v>
      </c>
      <c r="T6" s="1">
        <f t="shared" ref="T6:T69" si="8">LN(H7/H6)</f>
        <v>-7.2035332543718767E-3</v>
      </c>
      <c r="U6" s="1">
        <f t="shared" ref="U6:U69" si="9">LN(I7/I6)</f>
        <v>9.3341000337329484E-3</v>
      </c>
      <c r="V6" s="1">
        <f t="shared" ref="V6:V69" si="10">LN(J7/J6)</f>
        <v>8.978089699018043E-3</v>
      </c>
      <c r="W6" s="1">
        <f t="shared" ref="W6:W69" si="11">LN(K7/K6)</f>
        <v>-2.1831499656649279E-3</v>
      </c>
      <c r="Y6" s="1">
        <f t="shared" ref="Y6:Y69" si="12">N6-$Y$3</f>
        <v>-1.4446429457484634E-2</v>
      </c>
      <c r="Z6" s="1">
        <f t="shared" ref="Z6:Z69" si="13">O6-$Y$3</f>
        <v>3.421014886728543E-3</v>
      </c>
      <c r="AA6" s="1">
        <f t="shared" ref="AA6:AA69" si="14">P6-$Y$3</f>
        <v>-2.8284015003657185E-2</v>
      </c>
      <c r="AB6" s="1">
        <f t="shared" ref="AB6:AB69" si="15">Q6-$Y$3</f>
        <v>-2.0044742622180898E-2</v>
      </c>
      <c r="AC6" s="1">
        <f t="shared" ref="AC6:AC69" si="16">R6-$Y$3</f>
        <v>4.9492836280867229E-3</v>
      </c>
      <c r="AD6" s="1">
        <f t="shared" ref="AD6:AD69" si="17">S6-$Y$3</f>
        <v>5.9985903637562151E-3</v>
      </c>
      <c r="AE6" s="1">
        <f t="shared" ref="AE6:AE69" si="18">T6-$Y$3</f>
        <v>-8.868492386678908E-3</v>
      </c>
      <c r="AF6" s="1">
        <f t="shared" ref="AF6:AF69" si="19">U6-$Y$3</f>
        <v>7.6691409014259171E-3</v>
      </c>
      <c r="AG6" s="1">
        <f t="shared" ref="AG6:AG69" si="20">V6-$Y$3</f>
        <v>7.3131305667110116E-3</v>
      </c>
      <c r="AH6" s="1">
        <f t="shared" ref="AH6:AH69" si="21">W6-$Y$3</f>
        <v>-3.8481090979719593E-3</v>
      </c>
      <c r="AJ6" s="1" t="s">
        <v>72</v>
      </c>
      <c r="AK6" s="1">
        <v>1.1583567380969636E-4</v>
      </c>
      <c r="AL6" s="1">
        <v>9.1468844212637206E-4</v>
      </c>
      <c r="AM6" s="1">
        <v>1.8445740668316773E-4</v>
      </c>
      <c r="AN6" s="1">
        <v>1.6062911727060259E-4</v>
      </c>
      <c r="AO6" s="1">
        <v>6.2392394375402921E-5</v>
      </c>
      <c r="AP6" s="1">
        <v>2.5361682684911697E-4</v>
      </c>
      <c r="AQ6" s="1">
        <v>1.4674217072856486E-4</v>
      </c>
      <c r="AR6" s="1">
        <v>1.9908232645515046E-4</v>
      </c>
      <c r="AS6" s="1">
        <v>5.6422141536136309E-4</v>
      </c>
      <c r="AT6" s="1">
        <v>3.1867145994112064E-4</v>
      </c>
      <c r="AV6" s="1">
        <f t="shared" ref="AV6:AV14" si="22">1/10</f>
        <v>0.1</v>
      </c>
      <c r="AW6" s="28"/>
    </row>
    <row r="7" spans="1:49" x14ac:dyDescent="0.3">
      <c r="A7" s="120">
        <v>45295</v>
      </c>
      <c r="B7" s="121" t="s">
        <v>97</v>
      </c>
      <c r="C7" s="121" t="s">
        <v>98</v>
      </c>
      <c r="D7" s="121" t="s">
        <v>99</v>
      </c>
      <c r="E7" s="121" t="s">
        <v>100</v>
      </c>
      <c r="F7" s="121" t="s">
        <v>101</v>
      </c>
      <c r="G7" s="1">
        <v>345.49169921875</v>
      </c>
      <c r="H7" s="121" t="s">
        <v>102</v>
      </c>
      <c r="I7" s="121" t="s">
        <v>103</v>
      </c>
      <c r="J7" s="121" t="s">
        <v>104</v>
      </c>
      <c r="K7" s="121" t="s">
        <v>105</v>
      </c>
      <c r="M7" s="122">
        <v>45295</v>
      </c>
      <c r="N7" s="1">
        <f t="shared" si="2"/>
        <v>-4.0210672046153686E-3</v>
      </c>
      <c r="O7" s="1">
        <f t="shared" si="3"/>
        <v>1.8719417355497925E-2</v>
      </c>
      <c r="P7" s="1">
        <f t="shared" si="4"/>
        <v>4.6237143849858159E-3</v>
      </c>
      <c r="Q7" s="1">
        <f t="shared" si="5"/>
        <v>-4.8508163269015544E-3</v>
      </c>
      <c r="R7" s="1">
        <f t="shared" si="6"/>
        <v>5.0046346435529392E-3</v>
      </c>
      <c r="S7" s="1">
        <f t="shared" si="7"/>
        <v>1.3818577178657608E-2</v>
      </c>
      <c r="T7" s="1">
        <f t="shared" si="8"/>
        <v>-5.1649326932723383E-4</v>
      </c>
      <c r="U7" s="1">
        <f t="shared" si="9"/>
        <v>-1.2859632269293169E-3</v>
      </c>
      <c r="V7" s="1">
        <f t="shared" si="10"/>
        <v>2.2638502627858974E-2</v>
      </c>
      <c r="W7" s="1">
        <f t="shared" si="11"/>
        <v>-1.8509415250824177E-3</v>
      </c>
      <c r="Y7" s="1">
        <f t="shared" si="12"/>
        <v>-5.6860263369224E-3</v>
      </c>
      <c r="Z7" s="1">
        <f t="shared" si="13"/>
        <v>1.7054458223190894E-2</v>
      </c>
      <c r="AA7" s="1">
        <f t="shared" si="14"/>
        <v>2.9587552526787846E-3</v>
      </c>
      <c r="AB7" s="1">
        <f t="shared" si="15"/>
        <v>-6.5157754592085858E-3</v>
      </c>
      <c r="AC7" s="1">
        <f t="shared" si="16"/>
        <v>3.3396755112459079E-3</v>
      </c>
      <c r="AD7" s="1">
        <f t="shared" si="17"/>
        <v>1.2153618046350578E-2</v>
      </c>
      <c r="AE7" s="1">
        <f t="shared" si="18"/>
        <v>-2.1814524016342649E-3</v>
      </c>
      <c r="AF7" s="1">
        <f t="shared" si="19"/>
        <v>-2.9509223592363481E-3</v>
      </c>
      <c r="AG7" s="1">
        <f t="shared" si="20"/>
        <v>2.0973543495551944E-2</v>
      </c>
      <c r="AH7" s="1">
        <f t="shared" si="21"/>
        <v>-3.5159006573894491E-3</v>
      </c>
      <c r="AJ7" s="1" t="s">
        <v>73</v>
      </c>
      <c r="AK7" s="1">
        <v>8.5244425737198478E-5</v>
      </c>
      <c r="AL7" s="1">
        <v>1.8445740668316773E-4</v>
      </c>
      <c r="AM7" s="1">
        <v>3.1455049518451381E-4</v>
      </c>
      <c r="AN7" s="1">
        <v>1.7026804521113318E-4</v>
      </c>
      <c r="AO7" s="1">
        <v>6.3286692620614267E-5</v>
      </c>
      <c r="AP7" s="1">
        <v>2.3034765778712958E-4</v>
      </c>
      <c r="AQ7" s="1">
        <v>1.5437073727360938E-4</v>
      </c>
      <c r="AR7" s="1">
        <v>1.3187819325787312E-4</v>
      </c>
      <c r="AS7" s="1">
        <v>2.5375658767012003E-4</v>
      </c>
      <c r="AT7" s="1">
        <v>2.2705444313619776E-4</v>
      </c>
      <c r="AV7" s="1">
        <f t="shared" si="22"/>
        <v>0.1</v>
      </c>
      <c r="AW7" s="28"/>
    </row>
    <row r="8" spans="1:49" x14ac:dyDescent="0.3">
      <c r="A8" s="120">
        <v>45296</v>
      </c>
      <c r="B8" s="121" t="s">
        <v>106</v>
      </c>
      <c r="C8" s="121" t="s">
        <v>82</v>
      </c>
      <c r="D8" s="121" t="s">
        <v>107</v>
      </c>
      <c r="E8" s="121" t="s">
        <v>108</v>
      </c>
      <c r="F8" s="1">
        <v>168.419921875</v>
      </c>
      <c r="G8" s="121" t="s">
        <v>109</v>
      </c>
      <c r="H8" s="121" t="s">
        <v>110</v>
      </c>
      <c r="I8" s="121" t="s">
        <v>111</v>
      </c>
      <c r="J8" s="121" t="s">
        <v>112</v>
      </c>
      <c r="K8" s="121" t="s">
        <v>113</v>
      </c>
      <c r="M8" s="122">
        <v>45296</v>
      </c>
      <c r="N8" s="1">
        <f t="shared" si="2"/>
        <v>2.388713811732469E-2</v>
      </c>
      <c r="O8" s="1">
        <f t="shared" si="3"/>
        <v>5.3390899535923436E-2</v>
      </c>
      <c r="P8" s="1">
        <f t="shared" si="4"/>
        <v>2.6229678338982831E-2</v>
      </c>
      <c r="Q8" s="1">
        <f t="shared" si="5"/>
        <v>2.2654555557823659E-2</v>
      </c>
      <c r="R8" s="1">
        <f t="shared" si="6"/>
        <v>-1.4521888036283157E-3</v>
      </c>
      <c r="S8" s="1">
        <f t="shared" si="7"/>
        <v>1.888575481612418E-2</v>
      </c>
      <c r="T8" s="1">
        <f t="shared" si="8"/>
        <v>1.8695716618687012E-2</v>
      </c>
      <c r="U8" s="1">
        <f t="shared" si="9"/>
        <v>2.2876851365142364E-2</v>
      </c>
      <c r="V8" s="1">
        <f t="shared" si="10"/>
        <v>6.2299309469849871E-2</v>
      </c>
      <c r="W8" s="1">
        <f t="shared" si="11"/>
        <v>1.2386614576638619E-2</v>
      </c>
      <c r="Y8" s="1">
        <f t="shared" si="12"/>
        <v>2.222217898501766E-2</v>
      </c>
      <c r="Z8" s="1">
        <f t="shared" si="13"/>
        <v>5.1725940403616402E-2</v>
      </c>
      <c r="AA8" s="1">
        <f t="shared" si="14"/>
        <v>2.45647192066758E-2</v>
      </c>
      <c r="AB8" s="1">
        <f t="shared" si="15"/>
        <v>2.0989596425516628E-2</v>
      </c>
      <c r="AC8" s="1">
        <f t="shared" si="16"/>
        <v>-3.1171479359353468E-3</v>
      </c>
      <c r="AD8" s="1">
        <f t="shared" si="17"/>
        <v>1.7220795683817149E-2</v>
      </c>
      <c r="AE8" s="1">
        <f t="shared" si="18"/>
        <v>1.7030757486379982E-2</v>
      </c>
      <c r="AF8" s="1">
        <f t="shared" si="19"/>
        <v>2.1211892232835334E-2</v>
      </c>
      <c r="AG8" s="1">
        <f t="shared" si="20"/>
        <v>6.0634350337542837E-2</v>
      </c>
      <c r="AH8" s="1">
        <f t="shared" si="21"/>
        <v>1.0721655444331589E-2</v>
      </c>
      <c r="AJ8" s="1" t="s">
        <v>74</v>
      </c>
      <c r="AK8" s="1">
        <v>9.1268385758798502E-5</v>
      </c>
      <c r="AL8" s="1">
        <v>1.6062911727060259E-4</v>
      </c>
      <c r="AM8" s="1">
        <v>1.7026804521113318E-4</v>
      </c>
      <c r="AN8" s="1">
        <v>3.122325710240757E-4</v>
      </c>
      <c r="AO8" s="1">
        <v>3.7055550012414977E-5</v>
      </c>
      <c r="AP8" s="1">
        <v>1.5932385005316602E-4</v>
      </c>
      <c r="AQ8" s="1">
        <v>1.2891791404625032E-4</v>
      </c>
      <c r="AR8" s="1">
        <v>1.0037668602065732E-4</v>
      </c>
      <c r="AS8" s="1">
        <v>1.8244811312239777E-4</v>
      </c>
      <c r="AT8" s="1">
        <v>1.807304804811703E-4</v>
      </c>
      <c r="AV8" s="1">
        <f t="shared" si="22"/>
        <v>0.1</v>
      </c>
      <c r="AW8" s="28"/>
    </row>
    <row r="9" spans="1:49" x14ac:dyDescent="0.3">
      <c r="A9" s="120">
        <v>45299</v>
      </c>
      <c r="B9" s="121" t="s">
        <v>114</v>
      </c>
      <c r="C9" s="121" t="s">
        <v>115</v>
      </c>
      <c r="D9" s="121" t="s">
        <v>116</v>
      </c>
      <c r="E9" s="121" t="s">
        <v>117</v>
      </c>
      <c r="F9" s="121" t="s">
        <v>118</v>
      </c>
      <c r="G9" s="121" t="s">
        <v>119</v>
      </c>
      <c r="H9" s="121" t="s">
        <v>120</v>
      </c>
      <c r="I9" s="121" t="s">
        <v>121</v>
      </c>
      <c r="J9" s="121" t="s">
        <v>122</v>
      </c>
      <c r="K9" s="121" t="s">
        <v>123</v>
      </c>
      <c r="M9" s="122">
        <v>45299</v>
      </c>
      <c r="N9" s="1">
        <f t="shared" si="2"/>
        <v>-2.2658312524221334E-3</v>
      </c>
      <c r="O9" s="1">
        <f t="shared" si="3"/>
        <v>2.0851025952447953E-2</v>
      </c>
      <c r="P9" s="1">
        <f t="shared" si="4"/>
        <v>1.5109875810598547E-2</v>
      </c>
      <c r="Q9" s="1">
        <f t="shared" si="5"/>
        <v>1.5083136743235085E-2</v>
      </c>
      <c r="R9" s="1">
        <f t="shared" si="6"/>
        <v>-7.9375660763512535E-3</v>
      </c>
      <c r="S9" s="1">
        <f t="shared" si="7"/>
        <v>-3.4353621400561667E-3</v>
      </c>
      <c r="T9" s="1">
        <f t="shared" si="8"/>
        <v>2.9314865925419032E-3</v>
      </c>
      <c r="U9" s="1">
        <f t="shared" si="9"/>
        <v>-6.0799311622435149E-3</v>
      </c>
      <c r="V9" s="1">
        <f t="shared" si="10"/>
        <v>1.683274849511554E-2</v>
      </c>
      <c r="W9" s="1">
        <f t="shared" si="11"/>
        <v>-2.3096839566935645E-2</v>
      </c>
      <c r="Y9" s="1">
        <f t="shared" si="12"/>
        <v>-3.9307903847291643E-3</v>
      </c>
      <c r="Z9" s="1">
        <f t="shared" si="13"/>
        <v>1.9186066820140922E-2</v>
      </c>
      <c r="AA9" s="1">
        <f t="shared" si="14"/>
        <v>1.3444916678291516E-2</v>
      </c>
      <c r="AB9" s="1">
        <f t="shared" si="15"/>
        <v>1.3418177610928055E-2</v>
      </c>
      <c r="AC9" s="1">
        <f t="shared" si="16"/>
        <v>-9.602525208658284E-3</v>
      </c>
      <c r="AD9" s="1">
        <f t="shared" si="17"/>
        <v>-5.1003212723631976E-3</v>
      </c>
      <c r="AE9" s="1">
        <f t="shared" si="18"/>
        <v>1.2665274602348721E-3</v>
      </c>
      <c r="AF9" s="1">
        <f t="shared" si="19"/>
        <v>-7.7448902945505462E-3</v>
      </c>
      <c r="AG9" s="1">
        <f t="shared" si="20"/>
        <v>1.516778936280851E-2</v>
      </c>
      <c r="AH9" s="1">
        <f t="shared" si="21"/>
        <v>-2.4761798699242676E-2</v>
      </c>
      <c r="AJ9" s="1" t="s">
        <v>75</v>
      </c>
      <c r="AK9" s="1">
        <v>3.8484288712045581E-6</v>
      </c>
      <c r="AL9" s="1">
        <v>6.2392394375402921E-5</v>
      </c>
      <c r="AM9" s="1">
        <v>6.3286692620614267E-5</v>
      </c>
      <c r="AN9" s="1">
        <v>3.7055550012414977E-5</v>
      </c>
      <c r="AO9" s="1">
        <v>2.1719215365255095E-4</v>
      </c>
      <c r="AP9" s="1">
        <v>2.5340698663062681E-5</v>
      </c>
      <c r="AQ9" s="1">
        <v>3.0278346613736608E-5</v>
      </c>
      <c r="AR9" s="1">
        <v>2.8217039642294768E-5</v>
      </c>
      <c r="AS9" s="1">
        <v>4.1076867068657492E-5</v>
      </c>
      <c r="AT9" s="1">
        <v>1.3095895186701807E-4</v>
      </c>
      <c r="AV9" s="1">
        <f t="shared" si="22"/>
        <v>0.1</v>
      </c>
      <c r="AW9" s="28"/>
    </row>
    <row r="10" spans="1:49" x14ac:dyDescent="0.3">
      <c r="A10" s="120">
        <v>45300</v>
      </c>
      <c r="B10" s="121" t="s">
        <v>124</v>
      </c>
      <c r="C10" s="121" t="s">
        <v>125</v>
      </c>
      <c r="D10" s="121" t="s">
        <v>126</v>
      </c>
      <c r="E10" s="121" t="s">
        <v>127</v>
      </c>
      <c r="F10" s="121" t="s">
        <v>128</v>
      </c>
      <c r="G10" s="121" t="s">
        <v>129</v>
      </c>
      <c r="H10" s="121" t="s">
        <v>130</v>
      </c>
      <c r="I10" s="121" t="s">
        <v>131</v>
      </c>
      <c r="J10" s="121" t="s">
        <v>132</v>
      </c>
      <c r="K10" s="121" t="s">
        <v>133</v>
      </c>
      <c r="M10" s="122">
        <v>45300</v>
      </c>
      <c r="N10" s="1">
        <f t="shared" si="2"/>
        <v>5.6551869949897117E-3</v>
      </c>
      <c r="O10" s="1">
        <f t="shared" si="3"/>
        <v>-4.8354778584891005E-3</v>
      </c>
      <c r="P10" s="1">
        <f t="shared" si="4"/>
        <v>1.5470650615523527E-2</v>
      </c>
      <c r="Q10" s="1">
        <f t="shared" si="5"/>
        <v>9.3916057767256134E-3</v>
      </c>
      <c r="R10" s="1">
        <f t="shared" si="6"/>
        <v>2.1073562287772375E-3</v>
      </c>
      <c r="S10" s="1">
        <f t="shared" si="7"/>
        <v>3.5832987560453368E-2</v>
      </c>
      <c r="T10" s="1">
        <f t="shared" si="8"/>
        <v>1.8403673558216416E-2</v>
      </c>
      <c r="U10" s="1">
        <f t="shared" si="9"/>
        <v>-7.8299682275001208E-3</v>
      </c>
      <c r="V10" s="1">
        <f t="shared" si="10"/>
        <v>2.2514661172066318E-2</v>
      </c>
      <c r="W10" s="1">
        <f t="shared" si="11"/>
        <v>-4.3506328062789291E-3</v>
      </c>
      <c r="Y10" s="1">
        <f t="shared" si="12"/>
        <v>3.9902278626826803E-3</v>
      </c>
      <c r="Z10" s="1">
        <f t="shared" si="13"/>
        <v>-6.5004369907961318E-3</v>
      </c>
      <c r="AA10" s="1">
        <f t="shared" si="14"/>
        <v>1.3805691483216496E-2</v>
      </c>
      <c r="AB10" s="1">
        <f t="shared" si="15"/>
        <v>7.7266466444185821E-3</v>
      </c>
      <c r="AC10" s="1">
        <f t="shared" si="16"/>
        <v>4.4239709647020636E-4</v>
      </c>
      <c r="AD10" s="1">
        <f t="shared" si="17"/>
        <v>3.4168028428146334E-2</v>
      </c>
      <c r="AE10" s="1">
        <f t="shared" si="18"/>
        <v>1.6738714425909386E-2</v>
      </c>
      <c r="AF10" s="1">
        <f t="shared" si="19"/>
        <v>-9.4949273598071513E-3</v>
      </c>
      <c r="AG10" s="1">
        <f t="shared" si="20"/>
        <v>2.0849702039759287E-2</v>
      </c>
      <c r="AH10" s="1">
        <f t="shared" si="21"/>
        <v>-6.0155919385859605E-3</v>
      </c>
      <c r="AJ10" s="1" t="s">
        <v>76</v>
      </c>
      <c r="AK10" s="1">
        <v>7.400218079965464E-5</v>
      </c>
      <c r="AL10" s="1">
        <v>2.5361682684911697E-4</v>
      </c>
      <c r="AM10" s="1">
        <v>2.3034765778712958E-4</v>
      </c>
      <c r="AN10" s="1">
        <v>1.5932385005316602E-4</v>
      </c>
      <c r="AO10" s="1">
        <v>2.5340698663062681E-5</v>
      </c>
      <c r="AP10" s="1">
        <v>5.0692768117471994E-4</v>
      </c>
      <c r="AQ10" s="1">
        <v>1.649523714082839E-4</v>
      </c>
      <c r="AR10" s="1">
        <v>1.3964264719286507E-4</v>
      </c>
      <c r="AS10" s="1">
        <v>2.8643769896092349E-4</v>
      </c>
      <c r="AT10" s="1">
        <v>1.4293493724206615E-4</v>
      </c>
      <c r="AV10" s="1">
        <f t="shared" si="22"/>
        <v>0.1</v>
      </c>
      <c r="AW10" s="28"/>
    </row>
    <row r="11" spans="1:49" x14ac:dyDescent="0.3">
      <c r="A11" s="120">
        <v>45301</v>
      </c>
      <c r="B11" s="121" t="s">
        <v>134</v>
      </c>
      <c r="C11" s="121" t="s">
        <v>135</v>
      </c>
      <c r="D11" s="121" t="s">
        <v>136</v>
      </c>
      <c r="E11" s="121" t="s">
        <v>137</v>
      </c>
      <c r="F11" s="121" t="s">
        <v>138</v>
      </c>
      <c r="G11" s="1">
        <v>368.732177734375</v>
      </c>
      <c r="H11" s="121" t="s">
        <v>139</v>
      </c>
      <c r="I11" s="121" t="s">
        <v>140</v>
      </c>
      <c r="J11" s="121" t="s">
        <v>141</v>
      </c>
      <c r="K11" s="121" t="s">
        <v>142</v>
      </c>
      <c r="M11" s="122">
        <v>45301</v>
      </c>
      <c r="N11" s="1">
        <f t="shared" si="2"/>
        <v>-3.2276419499032492E-3</v>
      </c>
      <c r="O11" s="1">
        <f t="shared" si="3"/>
        <v>-3.5068084086994186E-3</v>
      </c>
      <c r="P11" s="1">
        <f t="shared" si="4"/>
        <v>9.387897135058736E-3</v>
      </c>
      <c r="Q11" s="1">
        <f t="shared" si="5"/>
        <v>-1.4066858869921023E-3</v>
      </c>
      <c r="R11" s="1">
        <f t="shared" si="6"/>
        <v>-4.2189794924795306E-3</v>
      </c>
      <c r="S11" s="1">
        <f t="shared" si="7"/>
        <v>-2.1617181953860649E-3</v>
      </c>
      <c r="T11" s="1">
        <f t="shared" si="8"/>
        <v>4.8477043815356845E-3</v>
      </c>
      <c r="U11" s="1">
        <f t="shared" si="9"/>
        <v>2.8645266463924648E-2</v>
      </c>
      <c r="V11" s="1">
        <f t="shared" si="10"/>
        <v>8.6469930847372263E-3</v>
      </c>
      <c r="W11" s="1">
        <f t="shared" si="11"/>
        <v>-2.9145966144497649E-2</v>
      </c>
      <c r="Y11" s="1">
        <f t="shared" si="12"/>
        <v>-4.8926010822102801E-3</v>
      </c>
      <c r="Z11" s="1">
        <f t="shared" si="13"/>
        <v>-5.1717675410064496E-3</v>
      </c>
      <c r="AA11" s="1">
        <f t="shared" si="14"/>
        <v>7.7229380027517046E-3</v>
      </c>
      <c r="AB11" s="1">
        <f t="shared" si="15"/>
        <v>-3.0716450192991335E-3</v>
      </c>
      <c r="AC11" s="1">
        <f t="shared" si="16"/>
        <v>-5.8839386247865619E-3</v>
      </c>
      <c r="AD11" s="1">
        <f t="shared" si="17"/>
        <v>-3.8266773276930963E-3</v>
      </c>
      <c r="AE11" s="1">
        <f t="shared" si="18"/>
        <v>3.1827452492286532E-3</v>
      </c>
      <c r="AF11" s="1">
        <f t="shared" si="19"/>
        <v>2.6980307331617617E-2</v>
      </c>
      <c r="AG11" s="1">
        <f t="shared" si="20"/>
        <v>6.9820339524301949E-3</v>
      </c>
      <c r="AH11" s="1">
        <f t="shared" si="21"/>
        <v>-3.0810925276804679E-2</v>
      </c>
      <c r="AJ11" s="1" t="s">
        <v>77</v>
      </c>
      <c r="AK11" s="1">
        <v>8.4487846684453931E-5</v>
      </c>
      <c r="AL11" s="1">
        <v>1.4674217072856486E-4</v>
      </c>
      <c r="AM11" s="1">
        <v>1.5437073727360938E-4</v>
      </c>
      <c r="AN11" s="1">
        <v>1.2891791404625032E-4</v>
      </c>
      <c r="AO11" s="1">
        <v>3.0278346613736608E-5</v>
      </c>
      <c r="AP11" s="1">
        <v>1.649523714082839E-4</v>
      </c>
      <c r="AQ11" s="1">
        <v>1.6117308501890828E-4</v>
      </c>
      <c r="AR11" s="1">
        <v>9.6298178923731237E-5</v>
      </c>
      <c r="AS11" s="1">
        <v>1.8821453093879683E-4</v>
      </c>
      <c r="AT11" s="1">
        <v>1.5423697921616991E-4</v>
      </c>
      <c r="AV11" s="1">
        <f t="shared" si="22"/>
        <v>0.1</v>
      </c>
      <c r="AW11" s="28"/>
    </row>
    <row r="12" spans="1:49" x14ac:dyDescent="0.3">
      <c r="A12" s="120">
        <v>45302</v>
      </c>
      <c r="B12" s="121" t="s">
        <v>143</v>
      </c>
      <c r="C12" s="121" t="s">
        <v>144</v>
      </c>
      <c r="D12" s="121" t="s">
        <v>145</v>
      </c>
      <c r="E12" s="121" t="s">
        <v>146</v>
      </c>
      <c r="F12" s="121" t="s">
        <v>147</v>
      </c>
      <c r="G12" s="121" t="s">
        <v>148</v>
      </c>
      <c r="H12" s="121" t="s">
        <v>149</v>
      </c>
      <c r="I12" s="121" t="s">
        <v>150</v>
      </c>
      <c r="J12" s="121" t="s">
        <v>151</v>
      </c>
      <c r="K12" s="121" t="s">
        <v>152</v>
      </c>
      <c r="M12" s="122">
        <v>45302</v>
      </c>
      <c r="N12" s="1">
        <f t="shared" si="2"/>
        <v>1.7766324799235224E-3</v>
      </c>
      <c r="O12" s="1">
        <f t="shared" si="3"/>
        <v>-9.9125443656440382E-3</v>
      </c>
      <c r="P12" s="1">
        <f t="shared" si="4"/>
        <v>-3.6152239546988212E-3</v>
      </c>
      <c r="Q12" s="1">
        <f t="shared" si="5"/>
        <v>4.003822856918836E-3</v>
      </c>
      <c r="R12" s="1">
        <f t="shared" si="6"/>
        <v>-7.3671354977405505E-3</v>
      </c>
      <c r="S12" s="1">
        <f t="shared" si="7"/>
        <v>1.2954230368067296E-2</v>
      </c>
      <c r="T12" s="1">
        <f t="shared" si="8"/>
        <v>9.9340941740231007E-3</v>
      </c>
      <c r="U12" s="1">
        <f t="shared" si="9"/>
        <v>-1.4223493390892251E-4</v>
      </c>
      <c r="V12" s="1">
        <f t="shared" si="10"/>
        <v>-2.0451274267107786E-3</v>
      </c>
      <c r="W12" s="1">
        <f t="shared" si="11"/>
        <v>-3.7349398777430751E-2</v>
      </c>
      <c r="Y12" s="1">
        <f t="shared" si="12"/>
        <v>1.1167334761649121E-4</v>
      </c>
      <c r="Z12" s="1">
        <f t="shared" si="13"/>
        <v>-1.1577503497951069E-2</v>
      </c>
      <c r="AA12" s="1">
        <f t="shared" si="14"/>
        <v>-5.2801830870058521E-3</v>
      </c>
      <c r="AB12" s="1">
        <f t="shared" si="15"/>
        <v>2.3388637246118046E-3</v>
      </c>
      <c r="AC12" s="1">
        <f t="shared" si="16"/>
        <v>-9.032094630047581E-3</v>
      </c>
      <c r="AD12" s="1">
        <f t="shared" si="17"/>
        <v>1.1289271235760266E-2</v>
      </c>
      <c r="AE12" s="1">
        <f t="shared" si="18"/>
        <v>8.2691350417160702E-3</v>
      </c>
      <c r="AF12" s="1">
        <f t="shared" si="19"/>
        <v>-1.8071940662159535E-3</v>
      </c>
      <c r="AG12" s="1">
        <f t="shared" si="20"/>
        <v>-3.7100865590178099E-3</v>
      </c>
      <c r="AH12" s="1">
        <f t="shared" si="21"/>
        <v>-3.9014357909737785E-2</v>
      </c>
      <c r="AJ12" s="1" t="s">
        <v>78</v>
      </c>
      <c r="AK12" s="1">
        <v>7.5095152310625211E-5</v>
      </c>
      <c r="AL12" s="1">
        <v>1.9908232645515046E-4</v>
      </c>
      <c r="AM12" s="1">
        <v>1.3187819325787312E-4</v>
      </c>
      <c r="AN12" s="1">
        <v>1.0037668602065732E-4</v>
      </c>
      <c r="AO12" s="1">
        <v>2.8217039642294768E-5</v>
      </c>
      <c r="AP12" s="1">
        <v>1.3964264719286507E-4</v>
      </c>
      <c r="AQ12" s="1">
        <v>9.6298178923731237E-5</v>
      </c>
      <c r="AR12" s="1">
        <v>3.4077175132921322E-4</v>
      </c>
      <c r="AS12" s="1">
        <v>2.7361483996492968E-4</v>
      </c>
      <c r="AT12" s="1">
        <v>1.7142278092824615E-4</v>
      </c>
      <c r="AV12" s="1">
        <f t="shared" si="22"/>
        <v>0.1</v>
      </c>
      <c r="AW12" s="28"/>
    </row>
    <row r="13" spans="1:49" x14ac:dyDescent="0.3">
      <c r="A13" s="120">
        <v>45303</v>
      </c>
      <c r="B13" s="121" t="s">
        <v>153</v>
      </c>
      <c r="C13" s="121" t="s">
        <v>154</v>
      </c>
      <c r="D13" s="121" t="s">
        <v>155</v>
      </c>
      <c r="E13" s="121" t="s">
        <v>156</v>
      </c>
      <c r="F13" s="121" t="s">
        <v>157</v>
      </c>
      <c r="G13" s="121" t="s">
        <v>158</v>
      </c>
      <c r="H13" s="121" t="s">
        <v>159</v>
      </c>
      <c r="I13" s="121" t="s">
        <v>160</v>
      </c>
      <c r="J13" s="121" t="s">
        <v>161</v>
      </c>
      <c r="K13" s="121" t="s">
        <v>162</v>
      </c>
      <c r="M13" s="122">
        <v>45303</v>
      </c>
      <c r="N13" s="1">
        <f t="shared" si="2"/>
        <v>-1.2393629016688159E-2</v>
      </c>
      <c r="O13" s="1">
        <f t="shared" si="3"/>
        <v>7.9832793999768378E-2</v>
      </c>
      <c r="P13" s="1">
        <f t="shared" si="4"/>
        <v>-9.487311793446012E-3</v>
      </c>
      <c r="Q13" s="1">
        <f t="shared" si="5"/>
        <v>-1.1221626448504425E-3</v>
      </c>
      <c r="R13" s="1">
        <f t="shared" si="6"/>
        <v>-6.2901117804864378E-3</v>
      </c>
      <c r="S13" s="1">
        <f t="shared" si="7"/>
        <v>-1.8950595155074544E-2</v>
      </c>
      <c r="T13" s="1">
        <f t="shared" si="8"/>
        <v>4.6228244619243063E-3</v>
      </c>
      <c r="U13" s="1">
        <f t="shared" si="9"/>
        <v>-2.2437788445421457E-2</v>
      </c>
      <c r="V13" s="1">
        <f t="shared" si="10"/>
        <v>3.0103503381247718E-2</v>
      </c>
      <c r="W13" s="1">
        <f t="shared" si="11"/>
        <v>4.6490706588515184E-3</v>
      </c>
      <c r="Y13" s="1">
        <f t="shared" si="12"/>
        <v>-1.405858814899519E-2</v>
      </c>
      <c r="Z13" s="1">
        <f t="shared" si="13"/>
        <v>7.8167834867461344E-2</v>
      </c>
      <c r="AA13" s="1">
        <f t="shared" si="14"/>
        <v>-1.1152270925753043E-2</v>
      </c>
      <c r="AB13" s="1">
        <f t="shared" si="15"/>
        <v>-2.7871217771574738E-3</v>
      </c>
      <c r="AC13" s="1">
        <f t="shared" si="16"/>
        <v>-7.9550709127934691E-3</v>
      </c>
      <c r="AD13" s="1">
        <f t="shared" si="17"/>
        <v>-2.0615554287381575E-2</v>
      </c>
      <c r="AE13" s="1">
        <f t="shared" si="18"/>
        <v>2.9578653296172749E-3</v>
      </c>
      <c r="AF13" s="1">
        <f t="shared" si="19"/>
        <v>-2.4102747577728487E-2</v>
      </c>
      <c r="AG13" s="1">
        <f t="shared" si="20"/>
        <v>2.8438544248940687E-2</v>
      </c>
      <c r="AH13" s="1">
        <f t="shared" si="21"/>
        <v>2.9841115265444871E-3</v>
      </c>
      <c r="AJ13" s="1" t="s">
        <v>79</v>
      </c>
      <c r="AK13" s="1">
        <v>1.1866686505956863E-4</v>
      </c>
      <c r="AL13" s="1">
        <v>5.6422141536136309E-4</v>
      </c>
      <c r="AM13" s="1">
        <v>2.5375658767012003E-4</v>
      </c>
      <c r="AN13" s="1">
        <v>1.8244811312239777E-4</v>
      </c>
      <c r="AO13" s="1">
        <v>4.1076867068657492E-5</v>
      </c>
      <c r="AP13" s="1">
        <v>2.8643769896092349E-4</v>
      </c>
      <c r="AQ13" s="1">
        <v>1.8821453093879683E-4</v>
      </c>
      <c r="AR13" s="1">
        <v>2.7361483996492968E-4</v>
      </c>
      <c r="AS13" s="1">
        <v>1.083632386596631E-3</v>
      </c>
      <c r="AT13" s="1">
        <v>2.9150145641292682E-4</v>
      </c>
      <c r="AV13" s="1">
        <f t="shared" si="22"/>
        <v>0.1</v>
      </c>
      <c r="AW13" s="28"/>
    </row>
    <row r="14" spans="1:49" x14ac:dyDescent="0.3">
      <c r="A14" s="120">
        <v>45307</v>
      </c>
      <c r="B14" s="121" t="s">
        <v>163</v>
      </c>
      <c r="C14" s="121" t="s">
        <v>164</v>
      </c>
      <c r="D14" s="121" t="s">
        <v>165</v>
      </c>
      <c r="E14" s="1">
        <v>141.81201171875</v>
      </c>
      <c r="F14" s="121" t="s">
        <v>166</v>
      </c>
      <c r="G14" s="121" t="s">
        <v>167</v>
      </c>
      <c r="H14" s="121" t="s">
        <v>168</v>
      </c>
      <c r="I14" s="1">
        <v>481.239990234375</v>
      </c>
      <c r="J14" s="121" t="s">
        <v>169</v>
      </c>
      <c r="K14" s="121" t="s">
        <v>170</v>
      </c>
      <c r="M14" s="122">
        <v>45307</v>
      </c>
      <c r="N14" s="1">
        <f t="shared" si="2"/>
        <v>-5.1869899664025582E-3</v>
      </c>
      <c r="O14" s="1">
        <f t="shared" si="3"/>
        <v>8.9680614807405804E-3</v>
      </c>
      <c r="P14" s="1">
        <f t="shared" si="4"/>
        <v>-9.5123025048311372E-3</v>
      </c>
      <c r="Q14" s="1">
        <f t="shared" si="5"/>
        <v>-7.1841788865059522E-3</v>
      </c>
      <c r="R14" s="1">
        <f t="shared" si="6"/>
        <v>-5.3718463782843244E-3</v>
      </c>
      <c r="S14" s="1">
        <f t="shared" si="7"/>
        <v>2.4733985311545369E-3</v>
      </c>
      <c r="T14" s="1">
        <f t="shared" si="8"/>
        <v>-2.051985925619111E-3</v>
      </c>
      <c r="U14" s="1">
        <f t="shared" si="9"/>
        <v>-1.8927461458503282E-3</v>
      </c>
      <c r="V14" s="1">
        <f t="shared" si="10"/>
        <v>-5.8522186670420979E-3</v>
      </c>
      <c r="W14" s="1">
        <f t="shared" si="11"/>
        <v>-2.0025473044374981E-2</v>
      </c>
      <c r="Y14" s="1">
        <f t="shared" si="12"/>
        <v>-6.8519490987095895E-3</v>
      </c>
      <c r="Z14" s="1">
        <f t="shared" si="13"/>
        <v>7.3031023484335491E-3</v>
      </c>
      <c r="AA14" s="1">
        <f t="shared" si="14"/>
        <v>-1.1177261637138168E-2</v>
      </c>
      <c r="AB14" s="1">
        <f t="shared" si="15"/>
        <v>-8.8491380188129836E-3</v>
      </c>
      <c r="AC14" s="1">
        <f t="shared" si="16"/>
        <v>-7.0368055105913558E-3</v>
      </c>
      <c r="AD14" s="1">
        <f t="shared" si="17"/>
        <v>8.0843939884750579E-4</v>
      </c>
      <c r="AE14" s="1">
        <f t="shared" si="18"/>
        <v>-3.7169450579261423E-3</v>
      </c>
      <c r="AF14" s="1">
        <f t="shared" si="19"/>
        <v>-3.5577052781573595E-3</v>
      </c>
      <c r="AG14" s="1">
        <f t="shared" si="20"/>
        <v>-7.5171777993491293E-3</v>
      </c>
      <c r="AH14" s="1">
        <f t="shared" si="21"/>
        <v>-2.1690432176682012E-2</v>
      </c>
      <c r="AJ14" s="1" t="s">
        <v>80</v>
      </c>
      <c r="AK14" s="1">
        <v>1.8765139608923226E-4</v>
      </c>
      <c r="AL14" s="1">
        <v>3.1867145994112064E-4</v>
      </c>
      <c r="AM14" s="1">
        <v>2.2705444313619776E-4</v>
      </c>
      <c r="AN14" s="1">
        <v>1.807304804811703E-4</v>
      </c>
      <c r="AO14" s="1">
        <v>1.3095895186701807E-4</v>
      </c>
      <c r="AP14" s="1">
        <v>1.4293493724206615E-4</v>
      </c>
      <c r="AQ14" s="1">
        <v>1.5423697921616991E-4</v>
      </c>
      <c r="AR14" s="1">
        <v>1.7142278092824615E-4</v>
      </c>
      <c r="AS14" s="1">
        <v>2.9150145641292682E-4</v>
      </c>
      <c r="AT14" s="1">
        <v>1.5576360963873073E-3</v>
      </c>
      <c r="AV14" s="1">
        <f t="shared" si="22"/>
        <v>0.1</v>
      </c>
      <c r="AW14" s="28"/>
    </row>
    <row r="15" spans="1:49" x14ac:dyDescent="0.3">
      <c r="A15" s="120">
        <v>45308</v>
      </c>
      <c r="B15" s="121" t="s">
        <v>171</v>
      </c>
      <c r="C15" s="121" t="s">
        <v>172</v>
      </c>
      <c r="D15" s="121" t="s">
        <v>173</v>
      </c>
      <c r="E15" s="121" t="s">
        <v>174</v>
      </c>
      <c r="F15" s="121" t="s">
        <v>175</v>
      </c>
      <c r="G15" s="121" t="s">
        <v>176</v>
      </c>
      <c r="H15" s="121" t="s">
        <v>177</v>
      </c>
      <c r="I15" s="121" t="s">
        <v>178</v>
      </c>
      <c r="J15" s="121" t="s">
        <v>179</v>
      </c>
      <c r="K15" s="121" t="s">
        <v>180</v>
      </c>
      <c r="M15" s="122">
        <v>45308</v>
      </c>
      <c r="N15" s="1">
        <f t="shared" si="2"/>
        <v>3.2051600316621395E-2</v>
      </c>
      <c r="O15" s="1">
        <f t="shared" si="3"/>
        <v>1.5487857773849764E-2</v>
      </c>
      <c r="P15" s="1">
        <f t="shared" si="4"/>
        <v>1.1729719012640829E-2</v>
      </c>
      <c r="Q15" s="1">
        <f t="shared" si="5"/>
        <v>1.4107910535793054E-2</v>
      </c>
      <c r="R15" s="1">
        <f t="shared" si="6"/>
        <v>1.9729856848331576E-3</v>
      </c>
      <c r="S15" s="1">
        <f t="shared" si="7"/>
        <v>2.0846971138459638E-2</v>
      </c>
      <c r="T15" s="1">
        <f t="shared" si="8"/>
        <v>1.1234013105648737E-2</v>
      </c>
      <c r="U15" s="1">
        <f t="shared" si="9"/>
        <v>1.0314517252255285E-2</v>
      </c>
      <c r="V15" s="1">
        <f t="shared" si="10"/>
        <v>1.8628957137248728E-2</v>
      </c>
      <c r="W15" s="1">
        <f t="shared" si="11"/>
        <v>-1.7172815629641857E-2</v>
      </c>
      <c r="Y15" s="1">
        <f t="shared" si="12"/>
        <v>3.0386641184314365E-2</v>
      </c>
      <c r="Z15" s="1">
        <f t="shared" si="13"/>
        <v>1.3822898641542734E-2</v>
      </c>
      <c r="AA15" s="1">
        <f t="shared" si="14"/>
        <v>1.0064759880333798E-2</v>
      </c>
      <c r="AB15" s="1">
        <f t="shared" si="15"/>
        <v>1.2442951403486023E-2</v>
      </c>
      <c r="AC15" s="1">
        <f t="shared" si="16"/>
        <v>3.080265525261265E-4</v>
      </c>
      <c r="AD15" s="1">
        <f t="shared" si="17"/>
        <v>1.9182012006152608E-2</v>
      </c>
      <c r="AE15" s="1">
        <f t="shared" si="18"/>
        <v>9.5690539733417068E-3</v>
      </c>
      <c r="AF15" s="1">
        <f t="shared" si="19"/>
        <v>8.6495581199482544E-3</v>
      </c>
      <c r="AG15" s="1">
        <f t="shared" si="20"/>
        <v>1.6963998004941697E-2</v>
      </c>
      <c r="AH15" s="1">
        <f t="shared" si="21"/>
        <v>-1.8837774761948888E-2</v>
      </c>
      <c r="AW15" s="28"/>
    </row>
    <row r="16" spans="1:49" ht="15" x14ac:dyDescent="0.3">
      <c r="A16" s="120">
        <v>45309</v>
      </c>
      <c r="B16" s="121" t="s">
        <v>181</v>
      </c>
      <c r="C16" s="121" t="s">
        <v>182</v>
      </c>
      <c r="D16" s="1">
        <v>153.5</v>
      </c>
      <c r="E16" s="121" t="s">
        <v>183</v>
      </c>
      <c r="F16" s="121" t="s">
        <v>184</v>
      </c>
      <c r="G16" s="121" t="s">
        <v>185</v>
      </c>
      <c r="H16" s="121" t="s">
        <v>186</v>
      </c>
      <c r="I16" s="121" t="s">
        <v>187</v>
      </c>
      <c r="J16" s="121" t="s">
        <v>188</v>
      </c>
      <c r="K16" s="121" t="s">
        <v>189</v>
      </c>
      <c r="M16" s="122">
        <v>45309</v>
      </c>
      <c r="N16" s="1">
        <f t="shared" si="2"/>
        <v>1.541361082267808E-2</v>
      </c>
      <c r="O16" s="1">
        <f t="shared" si="3"/>
        <v>6.8652643390747267E-2</v>
      </c>
      <c r="P16" s="1">
        <f t="shared" si="4"/>
        <v>1.1915672389445457E-2</v>
      </c>
      <c r="Q16" s="1">
        <f t="shared" si="5"/>
        <v>2.0010424437392978E-2</v>
      </c>
      <c r="R16" s="1">
        <f t="shared" si="6"/>
        <v>1.7114669140279044E-2</v>
      </c>
      <c r="S16" s="1">
        <f t="shared" si="7"/>
        <v>1.9274439053898307E-2</v>
      </c>
      <c r="T16" s="1">
        <f t="shared" si="8"/>
        <v>1.2113137318836642E-2</v>
      </c>
      <c r="U16" s="1">
        <f t="shared" si="9"/>
        <v>-4.8747030778216269E-3</v>
      </c>
      <c r="V16" s="1">
        <f t="shared" si="10"/>
        <v>4.0898230010400341E-2</v>
      </c>
      <c r="W16" s="1">
        <f t="shared" si="11"/>
        <v>1.462011500260362E-3</v>
      </c>
      <c r="Y16" s="1">
        <f t="shared" si="12"/>
        <v>1.3748651690371049E-2</v>
      </c>
      <c r="Z16" s="1">
        <f t="shared" si="13"/>
        <v>6.6987684258440233E-2</v>
      </c>
      <c r="AA16" s="1">
        <f t="shared" si="14"/>
        <v>1.0250713257138427E-2</v>
      </c>
      <c r="AB16" s="1">
        <f t="shared" si="15"/>
        <v>1.8345465305085948E-2</v>
      </c>
      <c r="AC16" s="1">
        <f t="shared" si="16"/>
        <v>1.5449710007972014E-2</v>
      </c>
      <c r="AD16" s="1">
        <f t="shared" si="17"/>
        <v>1.7609479921591276E-2</v>
      </c>
      <c r="AE16" s="1">
        <f t="shared" si="18"/>
        <v>1.0448178186529612E-2</v>
      </c>
      <c r="AF16" s="1">
        <f t="shared" si="19"/>
        <v>-6.5396622101286583E-3</v>
      </c>
      <c r="AG16" s="1">
        <f t="shared" si="20"/>
        <v>3.9233270878093307E-2</v>
      </c>
      <c r="AH16" s="1">
        <f t="shared" si="21"/>
        <v>-2.0294763204666911E-4</v>
      </c>
      <c r="AJ16" s="123" t="s">
        <v>2276</v>
      </c>
      <c r="AK16" s="124">
        <f>AVERAGE(N5:N254)</f>
        <v>1.2452007542670437E-3</v>
      </c>
      <c r="AL16" s="124">
        <f t="shared" ref="AL16:AT16" si="23">AVERAGE(O5:O254)</f>
        <v>-4.9530662158154951E-4</v>
      </c>
      <c r="AM16" s="124">
        <f t="shared" si="23"/>
        <v>1.5574031647650054E-3</v>
      </c>
      <c r="AN16" s="124">
        <f t="shared" si="23"/>
        <v>1.3146516529943092E-3</v>
      </c>
      <c r="AO16" s="124">
        <f t="shared" si="23"/>
        <v>1.4137631770476408E-3</v>
      </c>
      <c r="AP16" s="124">
        <f t="shared" si="23"/>
        <v>2.1550321676433058E-3</v>
      </c>
      <c r="AQ16" s="124">
        <f t="shared" si="23"/>
        <v>5.7315016382344691E-4</v>
      </c>
      <c r="AR16" s="124">
        <f t="shared" si="23"/>
        <v>2.6133452687600693E-3</v>
      </c>
      <c r="AS16" s="124">
        <f t="shared" si="23"/>
        <v>4.1965591704770629E-3</v>
      </c>
      <c r="AT16" s="124">
        <f t="shared" si="23"/>
        <v>2.0757924248739771E-3</v>
      </c>
      <c r="AW16" s="28"/>
    </row>
    <row r="17" spans="1:49" x14ac:dyDescent="0.3">
      <c r="A17" s="120">
        <v>45310</v>
      </c>
      <c r="B17" s="121" t="s">
        <v>190</v>
      </c>
      <c r="C17" s="121" t="s">
        <v>191</v>
      </c>
      <c r="D17" s="121" t="s">
        <v>192</v>
      </c>
      <c r="E17" s="121" t="s">
        <v>193</v>
      </c>
      <c r="F17" s="121" t="s">
        <v>194</v>
      </c>
      <c r="G17" s="121" t="s">
        <v>195</v>
      </c>
      <c r="H17" s="121" t="s">
        <v>196</v>
      </c>
      <c r="I17" s="121" t="s">
        <v>197</v>
      </c>
      <c r="J17" s="121" t="s">
        <v>198</v>
      </c>
      <c r="K17" s="121" t="s">
        <v>199</v>
      </c>
      <c r="M17" s="122">
        <v>45310</v>
      </c>
      <c r="N17" s="1">
        <f t="shared" si="2"/>
        <v>1.2089867514473043E-2</v>
      </c>
      <c r="O17" s="1">
        <f t="shared" si="3"/>
        <v>-3.5341450057984308E-2</v>
      </c>
      <c r="P17" s="1">
        <f t="shared" si="4"/>
        <v>-3.6114934610880322E-3</v>
      </c>
      <c r="Q17" s="1">
        <f t="shared" si="5"/>
        <v>-2.6678091928357636E-3</v>
      </c>
      <c r="R17" s="1">
        <f t="shared" si="6"/>
        <v>-1.1749949543511111E-3</v>
      </c>
      <c r="S17" s="1">
        <f t="shared" si="7"/>
        <v>-4.3647991231950478E-3</v>
      </c>
      <c r="T17" s="1">
        <f t="shared" si="8"/>
        <v>-5.4325945832777861E-3</v>
      </c>
      <c r="U17" s="1">
        <f t="shared" si="9"/>
        <v>5.6985664866810891E-3</v>
      </c>
      <c r="V17" s="1">
        <f t="shared" si="10"/>
        <v>2.7362640958019449E-3</v>
      </c>
      <c r="W17" s="1">
        <f t="shared" si="11"/>
        <v>-1.6105240597584555E-2</v>
      </c>
      <c r="Y17" s="1">
        <f t="shared" si="12"/>
        <v>1.0424908382166012E-2</v>
      </c>
      <c r="Z17" s="1">
        <f t="shared" si="13"/>
        <v>-3.7006409190291342E-2</v>
      </c>
      <c r="AA17" s="1">
        <f t="shared" si="14"/>
        <v>-5.2764525933950632E-3</v>
      </c>
      <c r="AB17" s="1">
        <f t="shared" si="15"/>
        <v>-4.3327683251427945E-3</v>
      </c>
      <c r="AC17" s="1">
        <f t="shared" si="16"/>
        <v>-2.839954086658142E-3</v>
      </c>
      <c r="AD17" s="1">
        <f t="shared" si="17"/>
        <v>-6.0297582555020792E-3</v>
      </c>
      <c r="AE17" s="1">
        <f t="shared" si="18"/>
        <v>-7.0975537155848175E-3</v>
      </c>
      <c r="AF17" s="1">
        <f t="shared" si="19"/>
        <v>4.0336073543740577E-3</v>
      </c>
      <c r="AG17" s="1">
        <f t="shared" si="20"/>
        <v>1.0713049634949138E-3</v>
      </c>
      <c r="AH17" s="1">
        <f t="shared" si="21"/>
        <v>-1.7770199729891585E-2</v>
      </c>
      <c r="AW17" s="28"/>
    </row>
    <row r="18" spans="1:49" ht="17.5" x14ac:dyDescent="0.35">
      <c r="A18" s="120">
        <v>45313</v>
      </c>
      <c r="B18" s="121" t="s">
        <v>200</v>
      </c>
      <c r="C18" s="121" t="s">
        <v>201</v>
      </c>
      <c r="D18" s="121" t="s">
        <v>202</v>
      </c>
      <c r="E18" s="121" t="s">
        <v>203</v>
      </c>
      <c r="F18" s="121" t="s">
        <v>204</v>
      </c>
      <c r="G18" s="121" t="s">
        <v>205</v>
      </c>
      <c r="H18" s="121" t="s">
        <v>206</v>
      </c>
      <c r="I18" s="121" t="s">
        <v>207</v>
      </c>
      <c r="J18" s="121" t="s">
        <v>208</v>
      </c>
      <c r="K18" s="121" t="s">
        <v>209</v>
      </c>
      <c r="M18" s="122">
        <v>45313</v>
      </c>
      <c r="N18" s="1">
        <f t="shared" si="2"/>
        <v>6.6312304224717044E-3</v>
      </c>
      <c r="O18" s="1">
        <f t="shared" si="3"/>
        <v>1.4260578750191271E-3</v>
      </c>
      <c r="P18" s="1">
        <f t="shared" si="4"/>
        <v>7.9794855886108438E-3</v>
      </c>
      <c r="Q18" s="1">
        <f t="shared" si="5"/>
        <v>7.1663883441829869E-3</v>
      </c>
      <c r="R18" s="1">
        <f t="shared" si="6"/>
        <v>-6.6057558185303412E-3</v>
      </c>
      <c r="S18" s="1">
        <f t="shared" si="7"/>
        <v>8.9182444211279611E-3</v>
      </c>
      <c r="T18" s="1">
        <f t="shared" si="8"/>
        <v>6.0093673294889689E-3</v>
      </c>
      <c r="U18" s="1">
        <f t="shared" si="9"/>
        <v>1.3253105378565565E-2</v>
      </c>
      <c r="V18" s="1">
        <f t="shared" si="10"/>
        <v>3.6645127733350817E-3</v>
      </c>
      <c r="W18" s="1">
        <f t="shared" si="11"/>
        <v>1.6270106278752383E-3</v>
      </c>
      <c r="Y18" s="1">
        <f t="shared" si="12"/>
        <v>4.9662712901646731E-3</v>
      </c>
      <c r="Z18" s="1">
        <f t="shared" si="13"/>
        <v>-2.38901257287904E-4</v>
      </c>
      <c r="AA18" s="1">
        <f t="shared" si="14"/>
        <v>6.3145264563038124E-3</v>
      </c>
      <c r="AB18" s="1">
        <f t="shared" si="15"/>
        <v>5.5014292118759555E-3</v>
      </c>
      <c r="AC18" s="1">
        <f t="shared" si="16"/>
        <v>-8.2707149508373726E-3</v>
      </c>
      <c r="AD18" s="1">
        <f t="shared" si="17"/>
        <v>7.2532852888209298E-3</v>
      </c>
      <c r="AE18" s="1">
        <f t="shared" si="18"/>
        <v>4.3444081971819376E-3</v>
      </c>
      <c r="AF18" s="1">
        <f t="shared" si="19"/>
        <v>1.1588146246258535E-2</v>
      </c>
      <c r="AG18" s="1">
        <f t="shared" si="20"/>
        <v>1.9995536410280504E-3</v>
      </c>
      <c r="AH18" s="1">
        <f t="shared" si="21"/>
        <v>-3.7948504431792882E-5</v>
      </c>
      <c r="AJ18" s="125" t="s">
        <v>2277</v>
      </c>
      <c r="AP18"/>
      <c r="AQ18"/>
      <c r="AR18"/>
      <c r="AW18" s="28"/>
    </row>
    <row r="19" spans="1:49" ht="14.5" x14ac:dyDescent="0.35">
      <c r="A19" s="120">
        <v>45314</v>
      </c>
      <c r="B19" s="121" t="s">
        <v>210</v>
      </c>
      <c r="C19" s="121" t="s">
        <v>211</v>
      </c>
      <c r="D19" s="121" t="s">
        <v>212</v>
      </c>
      <c r="E19" s="121" t="s">
        <v>213</v>
      </c>
      <c r="F19" s="121" t="s">
        <v>214</v>
      </c>
      <c r="G19" s="1">
        <v>383.39306640625</v>
      </c>
      <c r="H19" s="121" t="s">
        <v>215</v>
      </c>
      <c r="I19" s="121" t="s">
        <v>216</v>
      </c>
      <c r="J19" s="121" t="s">
        <v>217</v>
      </c>
      <c r="K19" s="121" t="s">
        <v>218</v>
      </c>
      <c r="M19" s="122">
        <v>45314</v>
      </c>
      <c r="N19" s="1">
        <f t="shared" si="2"/>
        <v>-3.4900059279938857E-3</v>
      </c>
      <c r="O19" s="1">
        <f t="shared" si="3"/>
        <v>5.6950551659780857E-2</v>
      </c>
      <c r="P19" s="1">
        <f t="shared" si="4"/>
        <v>5.4331741974351852E-3</v>
      </c>
      <c r="Q19" s="1">
        <f t="shared" si="5"/>
        <v>1.1226183372994008E-2</v>
      </c>
      <c r="R19" s="1">
        <f t="shared" si="6"/>
        <v>8.8958742556566467E-3</v>
      </c>
      <c r="S19" s="1">
        <f t="shared" si="7"/>
        <v>1.4177276011793317E-2</v>
      </c>
      <c r="T19" s="1">
        <f t="shared" si="8"/>
        <v>9.1335107346878653E-3</v>
      </c>
      <c r="U19" s="1">
        <f t="shared" si="9"/>
        <v>0.10168239937189248</v>
      </c>
      <c r="V19" s="1">
        <f t="shared" si="10"/>
        <v>2.456504170591221E-2</v>
      </c>
      <c r="W19" s="1">
        <f t="shared" si="11"/>
        <v>-6.2834346107264209E-3</v>
      </c>
      <c r="Y19" s="1">
        <f t="shared" si="12"/>
        <v>-5.1549650603009171E-3</v>
      </c>
      <c r="Z19" s="1">
        <f t="shared" si="13"/>
        <v>5.5285592527473823E-2</v>
      </c>
      <c r="AA19" s="1">
        <f t="shared" si="14"/>
        <v>3.7682150651281538E-3</v>
      </c>
      <c r="AB19" s="1">
        <f t="shared" si="15"/>
        <v>9.5612242406869774E-3</v>
      </c>
      <c r="AC19" s="1">
        <f t="shared" si="16"/>
        <v>7.2309151233496153E-3</v>
      </c>
      <c r="AD19" s="1">
        <f t="shared" si="17"/>
        <v>1.2512316879486287E-2</v>
      </c>
      <c r="AE19" s="1">
        <f t="shared" si="18"/>
        <v>7.4685516023808339E-3</v>
      </c>
      <c r="AF19" s="1">
        <f t="shared" si="19"/>
        <v>0.10001744023958545</v>
      </c>
      <c r="AG19" s="1">
        <f t="shared" si="20"/>
        <v>2.2900082573605179E-2</v>
      </c>
      <c r="AH19" s="1">
        <f t="shared" si="21"/>
        <v>-7.9483937430334523E-3</v>
      </c>
      <c r="AJ19" s="126" t="s">
        <v>2278</v>
      </c>
      <c r="AK19" s="1" cm="1">
        <f t="array" ref="AK19">MMULT($AK$16:$AT$16,AV5:AV14)</f>
        <v>1.6649591323070314E-3</v>
      </c>
      <c r="AP19"/>
      <c r="AQ19"/>
      <c r="AR19"/>
      <c r="AW19" s="28"/>
    </row>
    <row r="20" spans="1:49" x14ac:dyDescent="0.3">
      <c r="A20" s="120">
        <v>45315</v>
      </c>
      <c r="B20" s="121" t="s">
        <v>219</v>
      </c>
      <c r="C20" s="121" t="s">
        <v>220</v>
      </c>
      <c r="D20" s="121" t="s">
        <v>221</v>
      </c>
      <c r="E20" s="121" t="s">
        <v>222</v>
      </c>
      <c r="F20" s="121" t="s">
        <v>223</v>
      </c>
      <c r="G20" s="121" t="s">
        <v>224</v>
      </c>
      <c r="H20" s="121" t="s">
        <v>225</v>
      </c>
      <c r="I20" s="121" t="s">
        <v>226</v>
      </c>
      <c r="J20" s="121" t="s">
        <v>227</v>
      </c>
      <c r="K20" s="121" t="s">
        <v>228</v>
      </c>
      <c r="M20" s="122">
        <v>45315</v>
      </c>
      <c r="N20" s="1">
        <f t="shared" si="2"/>
        <v>-1.6981140627143607E-3</v>
      </c>
      <c r="O20" s="1">
        <f t="shared" si="3"/>
        <v>1.137711548341722E-2</v>
      </c>
      <c r="P20" s="1">
        <f t="shared" si="4"/>
        <v>5.5940956796673817E-3</v>
      </c>
      <c r="Q20" s="1">
        <f t="shared" si="5"/>
        <v>2.1093978118358604E-2</v>
      </c>
      <c r="R20" s="1">
        <f t="shared" si="6"/>
        <v>1.420932217728569E-2</v>
      </c>
      <c r="S20" s="1">
        <f t="shared" si="7"/>
        <v>6.3274865142308396E-3</v>
      </c>
      <c r="T20" s="1">
        <f t="shared" si="8"/>
        <v>5.7217286715228752E-3</v>
      </c>
      <c r="U20" s="1">
        <f t="shared" si="9"/>
        <v>3.0954624755274839E-2</v>
      </c>
      <c r="V20" s="1">
        <f t="shared" si="10"/>
        <v>4.1470165733142415E-3</v>
      </c>
      <c r="W20" s="1">
        <f t="shared" si="11"/>
        <v>-0.12925817170128745</v>
      </c>
      <c r="Y20" s="1">
        <f t="shared" si="12"/>
        <v>-3.3630731950213917E-3</v>
      </c>
      <c r="Z20" s="1">
        <f t="shared" si="13"/>
        <v>9.7121563511101891E-3</v>
      </c>
      <c r="AA20" s="1">
        <f t="shared" si="14"/>
        <v>3.9291365473603504E-3</v>
      </c>
      <c r="AB20" s="1">
        <f t="shared" si="15"/>
        <v>1.9429018986051573E-2</v>
      </c>
      <c r="AC20" s="1">
        <f t="shared" si="16"/>
        <v>1.2544363044978659E-2</v>
      </c>
      <c r="AD20" s="1">
        <f t="shared" si="17"/>
        <v>4.6625273819238082E-3</v>
      </c>
      <c r="AE20" s="1">
        <f t="shared" si="18"/>
        <v>4.0567695392158439E-3</v>
      </c>
      <c r="AF20" s="1">
        <f t="shared" si="19"/>
        <v>2.9289665622967809E-2</v>
      </c>
      <c r="AG20" s="1">
        <f t="shared" si="20"/>
        <v>2.4820574410072101E-3</v>
      </c>
      <c r="AH20" s="1">
        <f t="shared" si="21"/>
        <v>-0.13092313083359447</v>
      </c>
      <c r="AJ20" s="126" t="s">
        <v>2279</v>
      </c>
      <c r="AK20" s="127" cm="1">
        <f t="array" ref="AK20">MMULT(MMULT(TRANSPOSE(AV5:AV14),AK5:AT14),AV5:AV14)</f>
        <v>1.9428970877184652E-4</v>
      </c>
      <c r="AL20" s="1" t="s">
        <v>2346</v>
      </c>
      <c r="AW20" s="28"/>
    </row>
    <row r="21" spans="1:49" x14ac:dyDescent="0.3">
      <c r="A21" s="120">
        <v>45316</v>
      </c>
      <c r="B21" s="121" t="s">
        <v>229</v>
      </c>
      <c r="C21" s="121" t="s">
        <v>230</v>
      </c>
      <c r="D21" s="1">
        <v>157.75</v>
      </c>
      <c r="E21" s="121" t="s">
        <v>231</v>
      </c>
      <c r="F21" s="121" t="s">
        <v>232</v>
      </c>
      <c r="G21" s="121" t="s">
        <v>233</v>
      </c>
      <c r="H21" s="121" t="s">
        <v>234</v>
      </c>
      <c r="I21" s="1">
        <v>562</v>
      </c>
      <c r="J21" s="121" t="s">
        <v>235</v>
      </c>
      <c r="K21" s="121" t="s">
        <v>236</v>
      </c>
      <c r="M21" s="122">
        <v>45316</v>
      </c>
      <c r="N21" s="1">
        <f t="shared" si="2"/>
        <v>-9.0536180213317587E-3</v>
      </c>
      <c r="O21" s="1">
        <f t="shared" si="3"/>
        <v>-1.7227350460850138E-2</v>
      </c>
      <c r="P21" s="1">
        <f t="shared" si="4"/>
        <v>8.6471024380373705E-3</v>
      </c>
      <c r="Q21" s="1">
        <f t="shared" si="5"/>
        <v>2.1048756216981569E-3</v>
      </c>
      <c r="R21" s="1">
        <f t="shared" si="6"/>
        <v>-3.8235559838311205E-3</v>
      </c>
      <c r="S21" s="1">
        <f t="shared" si="7"/>
        <v>2.4387538456595746E-3</v>
      </c>
      <c r="T21" s="1">
        <f t="shared" si="8"/>
        <v>-2.3244998801667961E-3</v>
      </c>
      <c r="U21" s="1">
        <f t="shared" si="9"/>
        <v>1.4871051745195903E-2</v>
      </c>
      <c r="V21" s="1">
        <f t="shared" si="10"/>
        <v>-9.5558300024064756E-3</v>
      </c>
      <c r="W21" s="1">
        <f t="shared" si="11"/>
        <v>3.3890658267216704E-3</v>
      </c>
      <c r="Y21" s="1">
        <f t="shared" si="12"/>
        <v>-1.0718577153638789E-2</v>
      </c>
      <c r="Z21" s="1">
        <f t="shared" si="13"/>
        <v>-1.8892309593157169E-2</v>
      </c>
      <c r="AA21" s="1">
        <f t="shared" si="14"/>
        <v>6.9821433057303392E-3</v>
      </c>
      <c r="AB21" s="1">
        <f t="shared" si="15"/>
        <v>4.3991648939112576E-4</v>
      </c>
      <c r="AC21" s="1">
        <f t="shared" si="16"/>
        <v>-5.4885151161381514E-3</v>
      </c>
      <c r="AD21" s="1">
        <f t="shared" si="17"/>
        <v>7.7379471335254344E-4</v>
      </c>
      <c r="AE21" s="1">
        <f t="shared" si="18"/>
        <v>-3.9894590124738274E-3</v>
      </c>
      <c r="AF21" s="1">
        <f t="shared" si="19"/>
        <v>1.3206092612888872E-2</v>
      </c>
      <c r="AG21" s="1">
        <f t="shared" si="20"/>
        <v>-1.1220789134713506E-2</v>
      </c>
      <c r="AH21" s="1">
        <f t="shared" si="21"/>
        <v>1.7241066944146393E-3</v>
      </c>
      <c r="AJ21" s="126" t="s">
        <v>2280</v>
      </c>
      <c r="AK21" s="127">
        <f>AK20^0.5</f>
        <v>1.3938784336226976E-2</v>
      </c>
      <c r="AW21" s="28"/>
    </row>
    <row r="22" spans="1:49" x14ac:dyDescent="0.3">
      <c r="A22" s="120">
        <v>45317</v>
      </c>
      <c r="B22" s="121" t="s">
        <v>237</v>
      </c>
      <c r="C22" s="1">
        <v>177.25</v>
      </c>
      <c r="D22" s="121" t="s">
        <v>238</v>
      </c>
      <c r="E22" s="121" t="s">
        <v>239</v>
      </c>
      <c r="F22" s="121" t="s">
        <v>240</v>
      </c>
      <c r="G22" s="121" t="s">
        <v>241</v>
      </c>
      <c r="H22" s="121" t="s">
        <v>242</v>
      </c>
      <c r="I22" s="121" t="s">
        <v>243</v>
      </c>
      <c r="J22" s="121" t="s">
        <v>244</v>
      </c>
      <c r="K22" s="1">
        <v>183.25</v>
      </c>
      <c r="M22" s="122">
        <v>45317</v>
      </c>
      <c r="N22" s="1">
        <f t="shared" si="2"/>
        <v>-3.5923534613033822E-3</v>
      </c>
      <c r="O22" s="1">
        <f t="shared" si="3"/>
        <v>3.2668826399865352E-3</v>
      </c>
      <c r="P22" s="1">
        <f t="shared" si="4"/>
        <v>1.3359331333488439E-2</v>
      </c>
      <c r="Q22" s="1">
        <f t="shared" si="5"/>
        <v>8.6359820271368123E-3</v>
      </c>
      <c r="R22" s="1">
        <f t="shared" si="6"/>
        <v>2.6085221974302404E-3</v>
      </c>
      <c r="S22" s="1">
        <f t="shared" si="7"/>
        <v>1.7305101490193195E-2</v>
      </c>
      <c r="T22" s="1">
        <f t="shared" si="8"/>
        <v>1.4232432110881949E-2</v>
      </c>
      <c r="U22" s="1">
        <f t="shared" si="9"/>
        <v>9.3700710861218273E-3</v>
      </c>
      <c r="V22" s="1">
        <f t="shared" si="10"/>
        <v>2.3224444246483556E-2</v>
      </c>
      <c r="W22" s="1">
        <f t="shared" si="11"/>
        <v>4.105548959785614E-2</v>
      </c>
      <c r="Y22" s="1">
        <f t="shared" si="12"/>
        <v>-5.2573125936104135E-3</v>
      </c>
      <c r="Z22" s="1">
        <f t="shared" si="13"/>
        <v>1.601923507679504E-3</v>
      </c>
      <c r="AA22" s="1">
        <f t="shared" si="14"/>
        <v>1.1694372201181408E-2</v>
      </c>
      <c r="AB22" s="1">
        <f t="shared" si="15"/>
        <v>6.9710228948297809E-3</v>
      </c>
      <c r="AC22" s="1">
        <f t="shared" si="16"/>
        <v>9.4356306512320925E-4</v>
      </c>
      <c r="AD22" s="1">
        <f t="shared" si="17"/>
        <v>1.5640142357886164E-2</v>
      </c>
      <c r="AE22" s="1">
        <f t="shared" si="18"/>
        <v>1.2567472978574919E-2</v>
      </c>
      <c r="AF22" s="1">
        <f t="shared" si="19"/>
        <v>7.705111953814796E-3</v>
      </c>
      <c r="AG22" s="1">
        <f t="shared" si="20"/>
        <v>2.1559485114176526E-2</v>
      </c>
      <c r="AH22" s="1">
        <f t="shared" si="21"/>
        <v>3.9390530465549106E-2</v>
      </c>
      <c r="AJ22" s="126" t="s">
        <v>2285</v>
      </c>
      <c r="AK22" s="127">
        <f>NORMSINV(0.99)</f>
        <v>2.3263478740408408</v>
      </c>
      <c r="AW22" s="28"/>
    </row>
    <row r="23" spans="1:49" x14ac:dyDescent="0.3">
      <c r="A23" s="120">
        <v>45320</v>
      </c>
      <c r="B23" s="121" t="s">
        <v>245</v>
      </c>
      <c r="C23" s="121" t="s">
        <v>246</v>
      </c>
      <c r="D23" s="121" t="s">
        <v>247</v>
      </c>
      <c r="E23" s="121" t="s">
        <v>248</v>
      </c>
      <c r="F23" s="1">
        <v>168.86962890625</v>
      </c>
      <c r="G23" s="121" t="s">
        <v>249</v>
      </c>
      <c r="H23" s="121" t="s">
        <v>250</v>
      </c>
      <c r="I23" s="121" t="s">
        <v>251</v>
      </c>
      <c r="J23" s="121" t="s">
        <v>252</v>
      </c>
      <c r="K23" s="121" t="s">
        <v>253</v>
      </c>
      <c r="M23" s="122">
        <v>45320</v>
      </c>
      <c r="N23" s="1">
        <f t="shared" si="2"/>
        <v>-1.9433541197298679E-2</v>
      </c>
      <c r="O23" s="1">
        <f t="shared" si="3"/>
        <v>-3.2984809048298251E-2</v>
      </c>
      <c r="P23" s="1">
        <f t="shared" si="4"/>
        <v>-1.4113732972616861E-2</v>
      </c>
      <c r="Q23" s="1">
        <f t="shared" si="5"/>
        <v>-1.344409408373148E-2</v>
      </c>
      <c r="R23" s="1">
        <f t="shared" si="6"/>
        <v>2.0287362324008761E-2</v>
      </c>
      <c r="S23" s="1">
        <f t="shared" si="7"/>
        <v>-2.3968638455166432E-3</v>
      </c>
      <c r="T23" s="1">
        <f t="shared" si="8"/>
        <v>-2.7616816137749889E-3</v>
      </c>
      <c r="U23" s="1">
        <f t="shared" si="9"/>
        <v>-2.2729853299985951E-2</v>
      </c>
      <c r="V23" s="1">
        <f t="shared" si="10"/>
        <v>4.934569750505058E-3</v>
      </c>
      <c r="W23" s="1">
        <f t="shared" si="11"/>
        <v>3.4508226289771391E-3</v>
      </c>
      <c r="Y23" s="1">
        <f t="shared" si="12"/>
        <v>-2.109850032960571E-2</v>
      </c>
      <c r="Z23" s="1">
        <f t="shared" si="13"/>
        <v>-3.4649768180605285E-2</v>
      </c>
      <c r="AA23" s="1">
        <f t="shared" si="14"/>
        <v>-1.5778692104923893E-2</v>
      </c>
      <c r="AB23" s="1">
        <f t="shared" si="15"/>
        <v>-1.5109053216038511E-2</v>
      </c>
      <c r="AC23" s="1">
        <f t="shared" si="16"/>
        <v>1.862240319170173E-2</v>
      </c>
      <c r="AD23" s="1">
        <f t="shared" si="17"/>
        <v>-4.0618229778236741E-3</v>
      </c>
      <c r="AE23" s="1">
        <f t="shared" si="18"/>
        <v>-4.4266407460820199E-3</v>
      </c>
      <c r="AF23" s="1">
        <f t="shared" si="19"/>
        <v>-2.4394812432292981E-2</v>
      </c>
      <c r="AG23" s="1">
        <f t="shared" si="20"/>
        <v>3.2696106181980267E-3</v>
      </c>
      <c r="AH23" s="1">
        <f t="shared" si="21"/>
        <v>1.785863496670108E-3</v>
      </c>
      <c r="AJ23" s="126" t="s">
        <v>2284</v>
      </c>
      <c r="AK23" s="127">
        <f>-(AK22*AK21*SQRT(10))</f>
        <v>-0.10254147419037457</v>
      </c>
      <c r="AW23" s="28"/>
    </row>
    <row r="24" spans="1:49" x14ac:dyDescent="0.3">
      <c r="A24" s="120">
        <v>45321</v>
      </c>
      <c r="B24" s="121" t="s">
        <v>254</v>
      </c>
      <c r="C24" s="121" t="s">
        <v>255</v>
      </c>
      <c r="D24" s="1">
        <v>159</v>
      </c>
      <c r="E24" s="121" t="s">
        <v>256</v>
      </c>
      <c r="F24" s="121" t="s">
        <v>257</v>
      </c>
      <c r="G24" s="121" t="s">
        <v>258</v>
      </c>
      <c r="H24" s="121" t="s">
        <v>259</v>
      </c>
      <c r="I24" s="121" t="s">
        <v>260</v>
      </c>
      <c r="J24" s="121" t="s">
        <v>261</v>
      </c>
      <c r="K24" s="121" t="s">
        <v>262</v>
      </c>
      <c r="M24" s="122">
        <v>45321</v>
      </c>
      <c r="N24" s="1">
        <f t="shared" si="2"/>
        <v>-1.9547201910406591E-2</v>
      </c>
      <c r="O24" s="1">
        <f t="shared" si="3"/>
        <v>-2.5726187685863568E-2</v>
      </c>
      <c r="P24" s="1">
        <f t="shared" si="4"/>
        <v>-2.4189614134502584E-2</v>
      </c>
      <c r="Q24" s="1">
        <f t="shared" si="5"/>
        <v>-7.7965054303353473E-2</v>
      </c>
      <c r="R24" s="1">
        <f t="shared" si="6"/>
        <v>-1.089485042417356E-2</v>
      </c>
      <c r="S24" s="1">
        <f t="shared" si="7"/>
        <v>-2.5108595162108404E-2</v>
      </c>
      <c r="T24" s="1">
        <f t="shared" si="8"/>
        <v>-2.7316092756694766E-2</v>
      </c>
      <c r="U24" s="1">
        <f t="shared" si="9"/>
        <v>2.2361225497425563E-3</v>
      </c>
      <c r="V24" s="1">
        <f t="shared" si="10"/>
        <v>-2.0064881242641823E-2</v>
      </c>
      <c r="W24" s="1">
        <f t="shared" si="11"/>
        <v>-2.2699471099277661E-2</v>
      </c>
      <c r="Y24" s="1">
        <f t="shared" si="12"/>
        <v>-2.1212161042713621E-2</v>
      </c>
      <c r="Z24" s="1">
        <f t="shared" si="13"/>
        <v>-2.7391146818170599E-2</v>
      </c>
      <c r="AA24" s="1">
        <f t="shared" si="14"/>
        <v>-2.5854573266809615E-2</v>
      </c>
      <c r="AB24" s="1">
        <f t="shared" si="15"/>
        <v>-7.9630013435660507E-2</v>
      </c>
      <c r="AC24" s="1">
        <f t="shared" si="16"/>
        <v>-1.2559809556480591E-2</v>
      </c>
      <c r="AD24" s="1">
        <f t="shared" si="17"/>
        <v>-2.6773554294415434E-2</v>
      </c>
      <c r="AE24" s="1">
        <f t="shared" si="18"/>
        <v>-2.8981051889001797E-2</v>
      </c>
      <c r="AF24" s="1">
        <f t="shared" si="19"/>
        <v>5.7116341743552513E-4</v>
      </c>
      <c r="AG24" s="1">
        <f t="shared" si="20"/>
        <v>-2.1729840374948853E-2</v>
      </c>
      <c r="AH24" s="1">
        <f t="shared" si="21"/>
        <v>-2.4364430231584692E-2</v>
      </c>
      <c r="AJ24" s="126" t="s">
        <v>2283</v>
      </c>
      <c r="AK24" s="127">
        <f xml:space="preserve"> -(_xlfn.NORM.S.DIST(AK22, FALSE) / 0.01) *AK21 * SQRT(10)</f>
        <v>-0.11747812880310914</v>
      </c>
      <c r="AW24" s="28"/>
    </row>
    <row r="25" spans="1:49" x14ac:dyDescent="0.3">
      <c r="A25" s="120">
        <v>45322</v>
      </c>
      <c r="B25" s="121" t="s">
        <v>263</v>
      </c>
      <c r="C25" s="121" t="s">
        <v>264</v>
      </c>
      <c r="D25" s="121" t="s">
        <v>265</v>
      </c>
      <c r="E25" s="121" t="s">
        <v>266</v>
      </c>
      <c r="F25" s="121" t="s">
        <v>267</v>
      </c>
      <c r="G25" s="121" t="s">
        <v>268</v>
      </c>
      <c r="H25" s="121" t="s">
        <v>269</v>
      </c>
      <c r="I25" s="121" t="s">
        <v>270</v>
      </c>
      <c r="J25" s="121" t="s">
        <v>271</v>
      </c>
      <c r="K25" s="121" t="s">
        <v>272</v>
      </c>
      <c r="M25" s="122">
        <v>45322</v>
      </c>
      <c r="N25" s="1">
        <f t="shared" si="2"/>
        <v>1.3252328848040276E-2</v>
      </c>
      <c r="O25" s="1">
        <f t="shared" si="3"/>
        <v>1.6500911410937812E-2</v>
      </c>
      <c r="P25" s="1">
        <f t="shared" si="4"/>
        <v>2.594906400632432E-2</v>
      </c>
      <c r="Q25" s="1">
        <f t="shared" si="5"/>
        <v>7.5375868934555489E-3</v>
      </c>
      <c r="R25" s="1">
        <f t="shared" si="6"/>
        <v>-3.6198529137007576E-3</v>
      </c>
      <c r="S25" s="1">
        <f t="shared" si="7"/>
        <v>1.1822817824376023E-2</v>
      </c>
      <c r="T25" s="1">
        <f t="shared" si="8"/>
        <v>1.5473994609694845E-2</v>
      </c>
      <c r="U25" s="1">
        <f t="shared" si="9"/>
        <v>6.0091455787627404E-3</v>
      </c>
      <c r="V25" s="1">
        <f t="shared" si="10"/>
        <v>2.4087140410145459E-2</v>
      </c>
      <c r="W25" s="1">
        <f t="shared" si="11"/>
        <v>8.3478211723708E-3</v>
      </c>
      <c r="Y25" s="1">
        <f t="shared" si="12"/>
        <v>1.1587369715733245E-2</v>
      </c>
      <c r="Z25" s="1">
        <f t="shared" si="13"/>
        <v>1.4835952278630781E-2</v>
      </c>
      <c r="AA25" s="1">
        <f t="shared" si="14"/>
        <v>2.428410487401729E-2</v>
      </c>
      <c r="AB25" s="1">
        <f t="shared" si="15"/>
        <v>5.8726277611485175E-3</v>
      </c>
      <c r="AC25" s="1">
        <f t="shared" si="16"/>
        <v>-5.2848120460077886E-3</v>
      </c>
      <c r="AD25" s="1">
        <f t="shared" si="17"/>
        <v>1.0157858692068993E-2</v>
      </c>
      <c r="AE25" s="1">
        <f t="shared" si="18"/>
        <v>1.3809035477387814E-2</v>
      </c>
      <c r="AF25" s="1">
        <f t="shared" si="19"/>
        <v>4.3441864464557091E-3</v>
      </c>
      <c r="AG25" s="1">
        <f t="shared" si="20"/>
        <v>2.2422181277838429E-2</v>
      </c>
      <c r="AH25" s="1">
        <f t="shared" si="21"/>
        <v>6.6828620400637686E-3</v>
      </c>
      <c r="AW25" s="28"/>
    </row>
    <row r="26" spans="1:49" x14ac:dyDescent="0.3">
      <c r="A26" s="120">
        <v>45323</v>
      </c>
      <c r="B26" s="121" t="s">
        <v>273</v>
      </c>
      <c r="C26" s="121" t="s">
        <v>274</v>
      </c>
      <c r="D26" s="121" t="s">
        <v>275</v>
      </c>
      <c r="E26" s="121" t="s">
        <v>276</v>
      </c>
      <c r="F26" s="121" t="s">
        <v>277</v>
      </c>
      <c r="G26" s="121" t="s">
        <v>278</v>
      </c>
      <c r="H26" s="1">
        <v>399.98095703125</v>
      </c>
      <c r="I26" s="1">
        <v>567.510009765625</v>
      </c>
      <c r="J26" s="121" t="s">
        <v>279</v>
      </c>
      <c r="K26" s="121" t="s">
        <v>280</v>
      </c>
      <c r="M26" s="122">
        <v>45323</v>
      </c>
      <c r="N26" s="1">
        <f t="shared" si="2"/>
        <v>-5.4197495876733568E-3</v>
      </c>
      <c r="O26" s="1">
        <f t="shared" si="3"/>
        <v>4.125366922557451E-2</v>
      </c>
      <c r="P26" s="1">
        <f t="shared" si="4"/>
        <v>7.5725548771898493E-2</v>
      </c>
      <c r="Q26" s="1">
        <f t="shared" si="5"/>
        <v>8.6055959148504581E-3</v>
      </c>
      <c r="R26" s="1">
        <f t="shared" si="6"/>
        <v>5.7395265650531839E-3</v>
      </c>
      <c r="S26" s="1">
        <f t="shared" si="7"/>
        <v>0.18496503127395289</v>
      </c>
      <c r="T26" s="1">
        <f t="shared" si="8"/>
        <v>1.8258240539224205E-2</v>
      </c>
      <c r="U26" s="1">
        <f t="shared" si="9"/>
        <v>-5.0700016836011056E-3</v>
      </c>
      <c r="V26" s="1">
        <f t="shared" si="10"/>
        <v>4.8512910273986486E-2</v>
      </c>
      <c r="W26" s="1">
        <f t="shared" si="11"/>
        <v>-5.04285877699344E-3</v>
      </c>
      <c r="Y26" s="1">
        <f t="shared" si="12"/>
        <v>-7.0847087199803881E-3</v>
      </c>
      <c r="Z26" s="1">
        <f t="shared" si="13"/>
        <v>3.9588710093267476E-2</v>
      </c>
      <c r="AA26" s="1">
        <f t="shared" si="14"/>
        <v>7.4060589639591459E-2</v>
      </c>
      <c r="AB26" s="1">
        <f t="shared" si="15"/>
        <v>6.9406367825434268E-3</v>
      </c>
      <c r="AC26" s="1">
        <f t="shared" si="16"/>
        <v>4.0745674327461526E-3</v>
      </c>
      <c r="AD26" s="1">
        <f t="shared" si="17"/>
        <v>0.18330007214164587</v>
      </c>
      <c r="AE26" s="1">
        <f t="shared" si="18"/>
        <v>1.6593281406917175E-2</v>
      </c>
      <c r="AF26" s="1">
        <f t="shared" si="19"/>
        <v>-6.734960815908137E-3</v>
      </c>
      <c r="AG26" s="1">
        <f t="shared" si="20"/>
        <v>4.6847951141679452E-2</v>
      </c>
      <c r="AH26" s="1">
        <f t="shared" si="21"/>
        <v>-6.7078179093004713E-3</v>
      </c>
      <c r="AW26" s="28"/>
    </row>
    <row r="27" spans="1:49" x14ac:dyDescent="0.3">
      <c r="A27" s="120">
        <v>45324</v>
      </c>
      <c r="B27" s="121" t="s">
        <v>281</v>
      </c>
      <c r="C27" s="121" t="s">
        <v>282</v>
      </c>
      <c r="D27" s="121" t="s">
        <v>283</v>
      </c>
      <c r="E27" s="121" t="s">
        <v>284</v>
      </c>
      <c r="F27" s="121" t="s">
        <v>285</v>
      </c>
      <c r="G27" s="121" t="s">
        <v>286</v>
      </c>
      <c r="H27" s="121" t="s">
        <v>287</v>
      </c>
      <c r="I27" s="121" t="s">
        <v>288</v>
      </c>
      <c r="J27" s="121" t="s">
        <v>289</v>
      </c>
      <c r="K27" s="121" t="s">
        <v>290</v>
      </c>
      <c r="M27" s="122">
        <v>45324</v>
      </c>
      <c r="N27" s="1">
        <f t="shared" si="2"/>
        <v>9.7983956642852654E-3</v>
      </c>
      <c r="O27" s="1">
        <f t="shared" si="3"/>
        <v>-1.9495391041719819E-2</v>
      </c>
      <c r="P27" s="1">
        <f t="shared" si="4"/>
        <v>-8.7689093482845142E-3</v>
      </c>
      <c r="Q27" s="1">
        <f t="shared" si="5"/>
        <v>9.0889125887104114E-3</v>
      </c>
      <c r="R27" s="1">
        <f t="shared" si="6"/>
        <v>-1.3171475795387268E-3</v>
      </c>
      <c r="S27" s="1">
        <f t="shared" si="7"/>
        <v>-3.3350654564679512E-2</v>
      </c>
      <c r="T27" s="1">
        <f t="shared" si="8"/>
        <v>-1.3637668877805464E-2</v>
      </c>
      <c r="U27" s="1">
        <f t="shared" si="9"/>
        <v>-4.5797844526868081E-3</v>
      </c>
      <c r="V27" s="1">
        <f t="shared" si="10"/>
        <v>4.6830471047633347E-2</v>
      </c>
      <c r="W27" s="1">
        <f t="shared" si="11"/>
        <v>-3.7134689726366306E-2</v>
      </c>
      <c r="Y27" s="1">
        <f t="shared" si="12"/>
        <v>8.1334365319782349E-3</v>
      </c>
      <c r="Z27" s="1">
        <f t="shared" si="13"/>
        <v>-2.116035017402685E-2</v>
      </c>
      <c r="AA27" s="1">
        <f t="shared" si="14"/>
        <v>-1.0433868480591545E-2</v>
      </c>
      <c r="AB27" s="1">
        <f t="shared" si="15"/>
        <v>7.42395345640338E-3</v>
      </c>
      <c r="AC27" s="1">
        <f t="shared" si="16"/>
        <v>-2.9821067118457577E-3</v>
      </c>
      <c r="AD27" s="1">
        <f t="shared" si="17"/>
        <v>-3.5015613696986546E-2</v>
      </c>
      <c r="AE27" s="1">
        <f t="shared" si="18"/>
        <v>-1.5302628010112495E-2</v>
      </c>
      <c r="AF27" s="1">
        <f t="shared" si="19"/>
        <v>-6.2447435849938395E-3</v>
      </c>
      <c r="AG27" s="1">
        <f t="shared" si="20"/>
        <v>4.5165511915326313E-2</v>
      </c>
      <c r="AH27" s="1">
        <f t="shared" si="21"/>
        <v>-3.879964885867334E-2</v>
      </c>
      <c r="AW27" s="28"/>
    </row>
    <row r="28" spans="1:49" ht="15" x14ac:dyDescent="0.3">
      <c r="A28" s="120">
        <v>45327</v>
      </c>
      <c r="B28" s="121" t="s">
        <v>291</v>
      </c>
      <c r="C28" s="121" t="s">
        <v>191</v>
      </c>
      <c r="D28" s="121" t="s">
        <v>292</v>
      </c>
      <c r="E28" s="1">
        <v>142.996337890625</v>
      </c>
      <c r="F28" s="121" t="s">
        <v>293</v>
      </c>
      <c r="G28" s="121" t="s">
        <v>294</v>
      </c>
      <c r="H28" s="121" t="s">
        <v>295</v>
      </c>
      <c r="I28" s="121" t="s">
        <v>296</v>
      </c>
      <c r="J28" s="121" t="s">
        <v>297</v>
      </c>
      <c r="K28" s="121" t="s">
        <v>298</v>
      </c>
      <c r="M28" s="122">
        <v>45327</v>
      </c>
      <c r="N28" s="1">
        <f t="shared" si="2"/>
        <v>8.5947790282704384E-3</v>
      </c>
      <c r="O28" s="1">
        <f t="shared" si="3"/>
        <v>-3.7126773362332326E-2</v>
      </c>
      <c r="P28" s="1">
        <f t="shared" si="4"/>
        <v>-6.8344323724029979E-3</v>
      </c>
      <c r="Q28" s="1">
        <f t="shared" si="5"/>
        <v>2.9189889715750799E-3</v>
      </c>
      <c r="R28" s="1">
        <f t="shared" si="6"/>
        <v>3.4325159872081053E-3</v>
      </c>
      <c r="S28" s="1">
        <f t="shared" si="7"/>
        <v>-1.026114451463791E-2</v>
      </c>
      <c r="T28" s="1">
        <f t="shared" si="8"/>
        <v>-3.9454057841948101E-4</v>
      </c>
      <c r="U28" s="1">
        <f t="shared" si="9"/>
        <v>-1.1056149014926998E-2</v>
      </c>
      <c r="V28" s="1">
        <f t="shared" si="10"/>
        <v>-1.6124776363411485E-2</v>
      </c>
      <c r="W28" s="1">
        <f t="shared" si="11"/>
        <v>2.2067797990272829E-2</v>
      </c>
      <c r="Y28" s="1">
        <f t="shared" si="12"/>
        <v>6.929819895963407E-3</v>
      </c>
      <c r="Z28" s="1">
        <f t="shared" si="13"/>
        <v>-3.879173249463936E-2</v>
      </c>
      <c r="AA28" s="1">
        <f t="shared" si="14"/>
        <v>-8.4993915047100292E-3</v>
      </c>
      <c r="AB28" s="1">
        <f t="shared" si="15"/>
        <v>1.2540298392680488E-3</v>
      </c>
      <c r="AC28" s="1">
        <f t="shared" si="16"/>
        <v>1.7675568549010742E-3</v>
      </c>
      <c r="AD28" s="1">
        <f t="shared" si="17"/>
        <v>-1.1926103646944941E-2</v>
      </c>
      <c r="AE28" s="1">
        <f t="shared" si="18"/>
        <v>-2.0594997107265122E-3</v>
      </c>
      <c r="AF28" s="1">
        <f t="shared" si="19"/>
        <v>-1.2721108147234029E-2</v>
      </c>
      <c r="AG28" s="1">
        <f t="shared" si="20"/>
        <v>-1.7789735495718516E-2</v>
      </c>
      <c r="AH28" s="1">
        <f t="shared" si="21"/>
        <v>2.0402838857965799E-2</v>
      </c>
      <c r="AJ28" s="137" t="s">
        <v>26</v>
      </c>
      <c r="AW28" s="28"/>
    </row>
    <row r="29" spans="1:49" ht="17.5" x14ac:dyDescent="0.35">
      <c r="A29" s="120">
        <v>45328</v>
      </c>
      <c r="B29" s="121" t="s">
        <v>299</v>
      </c>
      <c r="C29" s="121" t="s">
        <v>300</v>
      </c>
      <c r="D29" s="121" t="s">
        <v>301</v>
      </c>
      <c r="E29" s="121" t="s">
        <v>302</v>
      </c>
      <c r="F29" s="121" t="s">
        <v>303</v>
      </c>
      <c r="G29" s="121" t="s">
        <v>304</v>
      </c>
      <c r="H29" s="121" t="s">
        <v>305</v>
      </c>
      <c r="I29" s="121" t="s">
        <v>306</v>
      </c>
      <c r="J29" s="121" t="s">
        <v>307</v>
      </c>
      <c r="K29" s="121" t="s">
        <v>308</v>
      </c>
      <c r="M29" s="122">
        <v>45328</v>
      </c>
      <c r="N29" s="1">
        <f t="shared" si="2"/>
        <v>5.8092456513438625E-4</v>
      </c>
      <c r="O29" s="1">
        <f t="shared" si="3"/>
        <v>1.8063164469589225E-2</v>
      </c>
      <c r="P29" s="1">
        <f t="shared" si="4"/>
        <v>8.1253680232637251E-3</v>
      </c>
      <c r="Q29" s="1">
        <f t="shared" si="5"/>
        <v>9.9434803681475777E-3</v>
      </c>
      <c r="R29" s="1">
        <f t="shared" si="6"/>
        <v>1.8829048203564522E-3</v>
      </c>
      <c r="S29" s="1">
        <f t="shared" si="7"/>
        <v>3.2178031111950597E-2</v>
      </c>
      <c r="T29" s="1">
        <f t="shared" si="8"/>
        <v>2.0890601918381983E-2</v>
      </c>
      <c r="U29" s="1">
        <f t="shared" si="9"/>
        <v>6.1335275996756214E-3</v>
      </c>
      <c r="V29" s="1">
        <f t="shared" si="10"/>
        <v>2.7126582643034542E-2</v>
      </c>
      <c r="W29" s="1">
        <f t="shared" si="11"/>
        <v>1.3309178288648509E-2</v>
      </c>
      <c r="Y29" s="1">
        <f t="shared" si="12"/>
        <v>-1.084034567172645E-3</v>
      </c>
      <c r="Z29" s="1">
        <f t="shared" si="13"/>
        <v>1.6398205337282194E-2</v>
      </c>
      <c r="AA29" s="1">
        <f t="shared" si="14"/>
        <v>6.4604088909566938E-3</v>
      </c>
      <c r="AB29" s="1">
        <f t="shared" si="15"/>
        <v>8.2785212358405472E-3</v>
      </c>
      <c r="AC29" s="1">
        <f t="shared" si="16"/>
        <v>2.1794568804942103E-4</v>
      </c>
      <c r="AD29" s="1">
        <f t="shared" si="17"/>
        <v>3.0513071979643567E-2</v>
      </c>
      <c r="AE29" s="1">
        <f t="shared" si="18"/>
        <v>1.9225642786074953E-2</v>
      </c>
      <c r="AF29" s="1">
        <f t="shared" si="19"/>
        <v>4.46856846736859E-3</v>
      </c>
      <c r="AG29" s="1">
        <f t="shared" si="20"/>
        <v>2.5461623510727512E-2</v>
      </c>
      <c r="AH29" s="1">
        <f t="shared" si="21"/>
        <v>1.1644219156341479E-2</v>
      </c>
      <c r="AJ29" s="135" t="s">
        <v>26</v>
      </c>
      <c r="AW29" s="28"/>
    </row>
    <row r="30" spans="1:49" ht="15.5" x14ac:dyDescent="0.35">
      <c r="A30" s="120">
        <v>45329</v>
      </c>
      <c r="B30" s="121" t="s">
        <v>309</v>
      </c>
      <c r="C30" s="121" t="s">
        <v>310</v>
      </c>
      <c r="D30" s="121" t="s">
        <v>311</v>
      </c>
      <c r="E30" s="121" t="s">
        <v>312</v>
      </c>
      <c r="F30" s="121" t="s">
        <v>313</v>
      </c>
      <c r="G30" s="121" t="s">
        <v>314</v>
      </c>
      <c r="H30" s="121" t="s">
        <v>315</v>
      </c>
      <c r="I30" s="121" t="s">
        <v>316</v>
      </c>
      <c r="J30" s="121" t="s">
        <v>317</v>
      </c>
      <c r="K30" s="121" t="s">
        <v>318</v>
      </c>
      <c r="M30" s="122">
        <v>45329</v>
      </c>
      <c r="N30" s="1">
        <f t="shared" si="2"/>
        <v>-5.77142212423598E-3</v>
      </c>
      <c r="O30" s="1">
        <f t="shared" si="3"/>
        <v>-9.3450167154985418E-3</v>
      </c>
      <c r="P30" s="1">
        <f t="shared" si="4"/>
        <v>-4.0544313336450082E-3</v>
      </c>
      <c r="Q30" s="1">
        <f t="shared" si="5"/>
        <v>2.5390362772086338E-3</v>
      </c>
      <c r="R30" s="1">
        <f t="shared" si="6"/>
        <v>-3.5975561113922435E-3</v>
      </c>
      <c r="S30" s="1">
        <f t="shared" si="7"/>
        <v>8.7279565993157488E-4</v>
      </c>
      <c r="T30" s="1">
        <f t="shared" si="8"/>
        <v>1.4478185320839401E-4</v>
      </c>
      <c r="U30" s="1">
        <f t="shared" si="9"/>
        <v>-1.3775951729483372E-3</v>
      </c>
      <c r="V30" s="1">
        <f t="shared" si="10"/>
        <v>-6.555006658870979E-3</v>
      </c>
      <c r="W30" s="1">
        <f t="shared" si="11"/>
        <v>1.0500153377802282E-2</v>
      </c>
      <c r="Y30" s="1">
        <f t="shared" si="12"/>
        <v>-7.4363812565430114E-3</v>
      </c>
      <c r="Z30" s="1">
        <f t="shared" si="13"/>
        <v>-1.1009975847805572E-2</v>
      </c>
      <c r="AA30" s="1">
        <f t="shared" si="14"/>
        <v>-5.7193904659520395E-3</v>
      </c>
      <c r="AB30" s="1">
        <f t="shared" si="15"/>
        <v>8.7407714490160267E-4</v>
      </c>
      <c r="AC30" s="1">
        <f t="shared" si="16"/>
        <v>-5.2625152436992749E-3</v>
      </c>
      <c r="AD30" s="1">
        <f t="shared" si="17"/>
        <v>-7.9216347237545627E-4</v>
      </c>
      <c r="AE30" s="1">
        <f t="shared" si="18"/>
        <v>-1.5201772790986372E-3</v>
      </c>
      <c r="AF30" s="1">
        <f t="shared" si="19"/>
        <v>-3.0425543052553681E-3</v>
      </c>
      <c r="AG30" s="1">
        <f t="shared" si="20"/>
        <v>-8.2199657911780095E-3</v>
      </c>
      <c r="AH30" s="1">
        <f t="shared" si="21"/>
        <v>8.8351942454952519E-3</v>
      </c>
      <c r="AJ30" s="2"/>
      <c r="AW30" s="28"/>
    </row>
    <row r="31" spans="1:49" ht="14.5" x14ac:dyDescent="0.35">
      <c r="A31" s="120">
        <v>45330</v>
      </c>
      <c r="B31" s="121" t="s">
        <v>319</v>
      </c>
      <c r="C31" s="121" t="s">
        <v>320</v>
      </c>
      <c r="D31" s="121" t="s">
        <v>321</v>
      </c>
      <c r="E31" s="121" t="s">
        <v>322</v>
      </c>
      <c r="F31" s="121" t="s">
        <v>323</v>
      </c>
      <c r="G31" s="121" t="s">
        <v>324</v>
      </c>
      <c r="H31" s="121" t="s">
        <v>325</v>
      </c>
      <c r="I31" s="1">
        <v>558.530029296875</v>
      </c>
      <c r="J31" s="121" t="s">
        <v>326</v>
      </c>
      <c r="K31" s="121" t="s">
        <v>327</v>
      </c>
      <c r="M31" s="122">
        <v>45330</v>
      </c>
      <c r="N31" s="1">
        <f t="shared" si="2"/>
        <v>4.0856803932533938E-3</v>
      </c>
      <c r="O31" s="1">
        <f t="shared" si="3"/>
        <v>1.8313647645257607E-2</v>
      </c>
      <c r="P31" s="1">
        <f t="shared" si="4"/>
        <v>2.6781354306302761E-2</v>
      </c>
      <c r="Q31" s="1">
        <f t="shared" si="5"/>
        <v>2.0956241379582758E-2</v>
      </c>
      <c r="R31" s="1">
        <f t="shared" si="6"/>
        <v>1.2005645361815955E-3</v>
      </c>
      <c r="S31" s="1">
        <f t="shared" si="7"/>
        <v>-4.0294487185290224E-3</v>
      </c>
      <c r="T31" s="1">
        <f t="shared" si="8"/>
        <v>1.5431781060417532E-2</v>
      </c>
      <c r="U31" s="1">
        <f t="shared" si="9"/>
        <v>4.9827811020986901E-3</v>
      </c>
      <c r="V31" s="1">
        <f t="shared" si="10"/>
        <v>3.5158396861781641E-2</v>
      </c>
      <c r="W31" s="1">
        <f t="shared" si="11"/>
        <v>2.0933657774970239E-2</v>
      </c>
      <c r="Y31" s="1">
        <f t="shared" si="12"/>
        <v>2.4207212609463624E-3</v>
      </c>
      <c r="Z31" s="1">
        <f t="shared" si="13"/>
        <v>1.6648688512950576E-2</v>
      </c>
      <c r="AA31" s="1">
        <f t="shared" si="14"/>
        <v>2.5116395173995731E-2</v>
      </c>
      <c r="AB31" s="1">
        <f t="shared" si="15"/>
        <v>1.9291282247275728E-2</v>
      </c>
      <c r="AC31" s="1">
        <f t="shared" si="16"/>
        <v>-4.6439459612543561E-4</v>
      </c>
      <c r="AD31" s="1">
        <f t="shared" si="17"/>
        <v>-5.6944078508360538E-3</v>
      </c>
      <c r="AE31" s="1">
        <f t="shared" si="18"/>
        <v>1.3766821928110502E-2</v>
      </c>
      <c r="AF31" s="1">
        <f t="shared" si="19"/>
        <v>3.3178219697916587E-3</v>
      </c>
      <c r="AG31" s="1">
        <f t="shared" si="20"/>
        <v>3.3493437729474607E-2</v>
      </c>
      <c r="AH31" s="1">
        <f t="shared" si="21"/>
        <v>1.9268698642663208E-2</v>
      </c>
      <c r="AJ31" s="138" t="s">
        <v>2287</v>
      </c>
      <c r="AW31" s="28"/>
    </row>
    <row r="32" spans="1:49" ht="15.5" x14ac:dyDescent="0.35">
      <c r="A32" s="120">
        <v>45331</v>
      </c>
      <c r="B32" s="121" t="s">
        <v>328</v>
      </c>
      <c r="C32" s="121" t="s">
        <v>329</v>
      </c>
      <c r="D32" s="121" t="s">
        <v>330</v>
      </c>
      <c r="E32" s="121" t="s">
        <v>331</v>
      </c>
      <c r="F32" s="121" t="s">
        <v>332</v>
      </c>
      <c r="G32" s="121" t="s">
        <v>333</v>
      </c>
      <c r="H32" s="121" t="s">
        <v>334</v>
      </c>
      <c r="I32" s="121" t="s">
        <v>335</v>
      </c>
      <c r="J32" s="1">
        <v>72.105934143066406</v>
      </c>
      <c r="K32" s="121" t="s">
        <v>336</v>
      </c>
      <c r="M32" s="122">
        <v>45331</v>
      </c>
      <c r="N32" s="1">
        <f t="shared" si="2"/>
        <v>-9.0427286074814105E-3</v>
      </c>
      <c r="O32" s="1">
        <f t="shared" si="3"/>
        <v>-3.3101575939902244E-3</v>
      </c>
      <c r="P32" s="1">
        <f t="shared" si="4"/>
        <v>-1.2168901576898088E-2</v>
      </c>
      <c r="Q32" s="1">
        <f t="shared" si="5"/>
        <v>-9.9147062856049916E-3</v>
      </c>
      <c r="R32" s="1">
        <f t="shared" si="6"/>
        <v>4.446929255174154E-3</v>
      </c>
      <c r="S32" s="1">
        <f t="shared" si="7"/>
        <v>1.68626168944256E-3</v>
      </c>
      <c r="T32" s="1">
        <f t="shared" si="8"/>
        <v>-1.265856391224985E-2</v>
      </c>
      <c r="U32" s="1">
        <f t="shared" si="9"/>
        <v>-6.2011006565169504E-3</v>
      </c>
      <c r="V32" s="1">
        <f t="shared" si="10"/>
        <v>1.5928361490801341E-3</v>
      </c>
      <c r="W32" s="1">
        <f t="shared" si="11"/>
        <v>-2.8506002817525695E-2</v>
      </c>
      <c r="Y32" s="1">
        <f t="shared" si="12"/>
        <v>-1.0707687739788441E-2</v>
      </c>
      <c r="Z32" s="1">
        <f t="shared" si="13"/>
        <v>-4.9751167262972558E-3</v>
      </c>
      <c r="AA32" s="1">
        <f t="shared" si="14"/>
        <v>-1.3833860709205118E-2</v>
      </c>
      <c r="AB32" s="1">
        <f t="shared" si="15"/>
        <v>-1.1579665417912022E-2</v>
      </c>
      <c r="AC32" s="1">
        <f t="shared" si="16"/>
        <v>2.7819701228671227E-3</v>
      </c>
      <c r="AD32" s="1">
        <f t="shared" si="17"/>
        <v>2.1302557135528854E-5</v>
      </c>
      <c r="AE32" s="1">
        <f t="shared" si="18"/>
        <v>-1.432352304455688E-2</v>
      </c>
      <c r="AF32" s="1">
        <f t="shared" si="19"/>
        <v>-7.8660597888239817E-3</v>
      </c>
      <c r="AG32" s="1">
        <f t="shared" si="20"/>
        <v>-7.212298322689702E-5</v>
      </c>
      <c r="AH32" s="1">
        <f t="shared" si="21"/>
        <v>-3.0170961949832726E-2</v>
      </c>
      <c r="AJ32" s="2"/>
      <c r="AW32" s="28"/>
    </row>
    <row r="33" spans="1:49" ht="15.5" x14ac:dyDescent="0.35">
      <c r="A33" s="120">
        <v>45334</v>
      </c>
      <c r="B33" s="121" t="s">
        <v>337</v>
      </c>
      <c r="C33" s="121" t="s">
        <v>338</v>
      </c>
      <c r="D33" s="121" t="s">
        <v>339</v>
      </c>
      <c r="E33" s="121" t="s">
        <v>340</v>
      </c>
      <c r="F33" s="121" t="s">
        <v>341</v>
      </c>
      <c r="G33" s="1">
        <v>466.700439453125</v>
      </c>
      <c r="H33" s="121" t="s">
        <v>342</v>
      </c>
      <c r="I33" s="121" t="s">
        <v>343</v>
      </c>
      <c r="J33" s="121" t="s">
        <v>344</v>
      </c>
      <c r="K33" s="121" t="s">
        <v>345</v>
      </c>
      <c r="M33" s="122">
        <v>45334</v>
      </c>
      <c r="N33" s="1">
        <f t="shared" si="2"/>
        <v>-1.1338327134469292E-2</v>
      </c>
      <c r="O33" s="1">
        <f t="shared" si="3"/>
        <v>-2.1546689323951734E-3</v>
      </c>
      <c r="P33" s="1">
        <f t="shared" si="4"/>
        <v>-2.1702986828550215E-2</v>
      </c>
      <c r="Q33" s="1">
        <f t="shared" si="5"/>
        <v>-1.633288105824959E-2</v>
      </c>
      <c r="R33" s="1">
        <f t="shared" si="6"/>
        <v>-8.7415632193199779E-3</v>
      </c>
      <c r="S33" s="1">
        <f t="shared" si="7"/>
        <v>-1.890223736397327E-2</v>
      </c>
      <c r="T33" s="1">
        <f t="shared" si="8"/>
        <v>-2.1763752450175155E-2</v>
      </c>
      <c r="U33" s="1">
        <f t="shared" si="9"/>
        <v>-5.9871553825438057E-3</v>
      </c>
      <c r="V33" s="1">
        <f t="shared" si="10"/>
        <v>-1.6621428802257351E-3</v>
      </c>
      <c r="W33" s="1">
        <f t="shared" si="11"/>
        <v>-2.2088768605913241E-2</v>
      </c>
      <c r="Y33" s="1">
        <f t="shared" si="12"/>
        <v>-1.3003286266776323E-2</v>
      </c>
      <c r="Z33" s="1">
        <f t="shared" si="13"/>
        <v>-3.8196280647022048E-3</v>
      </c>
      <c r="AA33" s="1">
        <f t="shared" si="14"/>
        <v>-2.3367945960857246E-2</v>
      </c>
      <c r="AB33" s="1">
        <f t="shared" si="15"/>
        <v>-1.799784019055662E-2</v>
      </c>
      <c r="AC33" s="1">
        <f t="shared" si="16"/>
        <v>-1.0406522351627008E-2</v>
      </c>
      <c r="AD33" s="1">
        <f t="shared" si="17"/>
        <v>-2.0567196496280301E-2</v>
      </c>
      <c r="AE33" s="1">
        <f t="shared" si="18"/>
        <v>-2.3428711582482185E-2</v>
      </c>
      <c r="AF33" s="1">
        <f t="shared" si="19"/>
        <v>-7.6521145148508371E-3</v>
      </c>
      <c r="AG33" s="1">
        <f t="shared" si="20"/>
        <v>-3.3271020125327662E-3</v>
      </c>
      <c r="AH33" s="1">
        <f t="shared" si="21"/>
        <v>-2.3753727738220272E-2</v>
      </c>
      <c r="AJ33" s="2"/>
      <c r="AW33" s="28"/>
    </row>
    <row r="34" spans="1:49" ht="15.5" x14ac:dyDescent="0.35">
      <c r="A34" s="120">
        <v>45335</v>
      </c>
      <c r="B34" s="121" t="s">
        <v>346</v>
      </c>
      <c r="C34" s="121" t="s">
        <v>347</v>
      </c>
      <c r="D34" s="121" t="s">
        <v>348</v>
      </c>
      <c r="E34" s="121" t="s">
        <v>349</v>
      </c>
      <c r="F34" s="121" t="s">
        <v>350</v>
      </c>
      <c r="G34" s="121" t="s">
        <v>351</v>
      </c>
      <c r="H34" s="1">
        <v>402.4970703125</v>
      </c>
      <c r="I34" s="1">
        <v>554.52001953125</v>
      </c>
      <c r="J34" s="121" t="s">
        <v>352</v>
      </c>
      <c r="K34" s="121" t="s">
        <v>353</v>
      </c>
      <c r="M34" s="122">
        <v>45335</v>
      </c>
      <c r="N34" s="1">
        <f t="shared" si="2"/>
        <v>-4.8213813398883098E-3</v>
      </c>
      <c r="O34" s="1">
        <f t="shared" si="3"/>
        <v>4.0891968664348272E-2</v>
      </c>
      <c r="P34" s="1">
        <f t="shared" si="4"/>
        <v>1.3780303876275025E-2</v>
      </c>
      <c r="Q34" s="1">
        <f t="shared" si="5"/>
        <v>5.496854842693244E-3</v>
      </c>
      <c r="R34" s="1">
        <f t="shared" si="6"/>
        <v>1.0105887029836624E-2</v>
      </c>
      <c r="S34" s="1">
        <f t="shared" si="7"/>
        <v>2.8199917691323167E-2</v>
      </c>
      <c r="T34" s="1">
        <f t="shared" si="8"/>
        <v>9.6189743757743411E-3</v>
      </c>
      <c r="U34" s="1">
        <f t="shared" si="9"/>
        <v>4.3769383007988459E-2</v>
      </c>
      <c r="V34" s="1">
        <f t="shared" si="10"/>
        <v>2.4270464301088961E-2</v>
      </c>
      <c r="W34" s="1">
        <f t="shared" si="11"/>
        <v>2.5167010147117034E-2</v>
      </c>
      <c r="Y34" s="1">
        <f t="shared" si="12"/>
        <v>-6.4863404721953411E-3</v>
      </c>
      <c r="Z34" s="1">
        <f t="shared" si="13"/>
        <v>3.9227009532041238E-2</v>
      </c>
      <c r="AA34" s="1">
        <f t="shared" si="14"/>
        <v>1.2115344743967995E-2</v>
      </c>
      <c r="AB34" s="1">
        <f t="shared" si="15"/>
        <v>3.8318957103862126E-3</v>
      </c>
      <c r="AC34" s="1">
        <f t="shared" si="16"/>
        <v>8.4409278975295932E-3</v>
      </c>
      <c r="AD34" s="1">
        <f t="shared" si="17"/>
        <v>2.6534958559016136E-2</v>
      </c>
      <c r="AE34" s="1">
        <f t="shared" si="18"/>
        <v>7.9540152434673106E-3</v>
      </c>
      <c r="AF34" s="1">
        <f t="shared" si="19"/>
        <v>4.2104423875681425E-2</v>
      </c>
      <c r="AG34" s="1">
        <f t="shared" si="20"/>
        <v>2.2605505168781931E-2</v>
      </c>
      <c r="AH34" s="1">
        <f t="shared" si="21"/>
        <v>2.3502051014810003E-2</v>
      </c>
      <c r="AJ34" s="2"/>
      <c r="AW34" s="28"/>
    </row>
    <row r="35" spans="1:49" x14ac:dyDescent="0.3">
      <c r="A35" s="120">
        <v>45336</v>
      </c>
      <c r="B35" s="121" t="s">
        <v>354</v>
      </c>
      <c r="C35" s="121" t="s">
        <v>355</v>
      </c>
      <c r="D35" s="121" t="s">
        <v>356</v>
      </c>
      <c r="E35" s="121" t="s">
        <v>357</v>
      </c>
      <c r="F35" s="121" t="s">
        <v>358</v>
      </c>
      <c r="G35" s="121" t="s">
        <v>359</v>
      </c>
      <c r="H35" s="121" t="s">
        <v>360</v>
      </c>
      <c r="I35" s="121" t="s">
        <v>361</v>
      </c>
      <c r="J35" s="121" t="s">
        <v>362</v>
      </c>
      <c r="K35" s="121" t="s">
        <v>363</v>
      </c>
      <c r="M35" s="122">
        <v>45336</v>
      </c>
      <c r="N35" s="1">
        <f t="shared" si="2"/>
        <v>-1.5759509612149752E-3</v>
      </c>
      <c r="O35" s="1">
        <f t="shared" si="3"/>
        <v>-1.0915555902263282E-2</v>
      </c>
      <c r="P35" s="1">
        <f t="shared" si="4"/>
        <v>-6.925273760109929E-3</v>
      </c>
      <c r="Q35" s="1">
        <f t="shared" si="5"/>
        <v>-2.1960676324384275E-2</v>
      </c>
      <c r="R35" s="1">
        <f t="shared" si="6"/>
        <v>2.1580029815109331E-2</v>
      </c>
      <c r="S35" s="1">
        <f t="shared" si="7"/>
        <v>2.245966987449265E-2</v>
      </c>
      <c r="T35" s="1">
        <f t="shared" si="8"/>
        <v>-7.1809039689443707E-3</v>
      </c>
      <c r="U35" s="1">
        <f t="shared" si="9"/>
        <v>2.4097559104399181E-2</v>
      </c>
      <c r="V35" s="1">
        <f t="shared" si="10"/>
        <v>-1.6949501819720176E-2</v>
      </c>
      <c r="W35" s="1">
        <f t="shared" si="11"/>
        <v>6.035334314528152E-2</v>
      </c>
      <c r="Y35" s="1">
        <f t="shared" si="12"/>
        <v>-3.2409100935220066E-3</v>
      </c>
      <c r="Z35" s="1">
        <f t="shared" si="13"/>
        <v>-1.2580515034570312E-2</v>
      </c>
      <c r="AA35" s="1">
        <f t="shared" si="14"/>
        <v>-8.5902328924169595E-3</v>
      </c>
      <c r="AB35" s="1">
        <f t="shared" si="15"/>
        <v>-2.3625635456691305E-2</v>
      </c>
      <c r="AC35" s="1">
        <f t="shared" si="16"/>
        <v>1.9915070682802301E-2</v>
      </c>
      <c r="AD35" s="1">
        <f t="shared" si="17"/>
        <v>2.0794710742185619E-2</v>
      </c>
      <c r="AE35" s="1">
        <f t="shared" si="18"/>
        <v>-8.845863101251402E-3</v>
      </c>
      <c r="AF35" s="1">
        <f t="shared" si="19"/>
        <v>2.2432599972092151E-2</v>
      </c>
      <c r="AG35" s="1">
        <f t="shared" si="20"/>
        <v>-1.8614460952027206E-2</v>
      </c>
      <c r="AH35" s="1">
        <f t="shared" si="21"/>
        <v>5.8688384012974486E-2</v>
      </c>
      <c r="AW35" s="28"/>
    </row>
    <row r="36" spans="1:49" x14ac:dyDescent="0.3">
      <c r="A36" s="120">
        <v>45337</v>
      </c>
      <c r="B36" s="121" t="s">
        <v>364</v>
      </c>
      <c r="C36" s="121" t="s">
        <v>365</v>
      </c>
      <c r="D36" s="121" t="s">
        <v>366</v>
      </c>
      <c r="E36" s="121" t="s">
        <v>367</v>
      </c>
      <c r="F36" s="121" t="s">
        <v>368</v>
      </c>
      <c r="G36" s="121" t="s">
        <v>369</v>
      </c>
      <c r="H36" s="121" t="s">
        <v>370</v>
      </c>
      <c r="I36" s="121" t="s">
        <v>371</v>
      </c>
      <c r="J36" s="121" t="s">
        <v>372</v>
      </c>
      <c r="K36" s="121" t="s">
        <v>373</v>
      </c>
      <c r="M36" s="122">
        <v>45337</v>
      </c>
      <c r="N36" s="1">
        <f t="shared" si="2"/>
        <v>-8.4661968065244762E-3</v>
      </c>
      <c r="O36" s="1">
        <f t="shared" si="3"/>
        <v>-1.648498372899735E-2</v>
      </c>
      <c r="P36" s="1">
        <f t="shared" si="4"/>
        <v>-1.7094021256495817E-3</v>
      </c>
      <c r="Q36" s="1">
        <f t="shared" si="5"/>
        <v>-1.5885075961168862E-2</v>
      </c>
      <c r="R36" s="1">
        <f t="shared" si="6"/>
        <v>-4.6810726255540188E-3</v>
      </c>
      <c r="S36" s="1">
        <f t="shared" si="7"/>
        <v>-2.2375129128118849E-2</v>
      </c>
      <c r="T36" s="1">
        <f t="shared" si="8"/>
        <v>-6.1681141892855834E-3</v>
      </c>
      <c r="U36" s="1">
        <f t="shared" si="9"/>
        <v>-1.6154468375651571E-2</v>
      </c>
      <c r="V36" s="1">
        <f t="shared" si="10"/>
        <v>-6.1952909785884056E-4</v>
      </c>
      <c r="W36" s="1">
        <f t="shared" si="11"/>
        <v>-2.4975038337594173E-3</v>
      </c>
      <c r="Y36" s="1">
        <f t="shared" si="12"/>
        <v>-1.0131155938831507E-2</v>
      </c>
      <c r="Z36" s="1">
        <f t="shared" si="13"/>
        <v>-1.8149942861304381E-2</v>
      </c>
      <c r="AA36" s="1">
        <f t="shared" si="14"/>
        <v>-3.3743612579566129E-3</v>
      </c>
      <c r="AB36" s="1">
        <f t="shared" si="15"/>
        <v>-1.7550035093475892E-2</v>
      </c>
      <c r="AC36" s="1">
        <f t="shared" si="16"/>
        <v>-6.3460317578610502E-3</v>
      </c>
      <c r="AD36" s="1">
        <f t="shared" si="17"/>
        <v>-2.404008826042588E-2</v>
      </c>
      <c r="AE36" s="1">
        <f t="shared" si="18"/>
        <v>-7.8330733215926148E-3</v>
      </c>
      <c r="AF36" s="1">
        <f t="shared" si="19"/>
        <v>-1.7819427507958601E-2</v>
      </c>
      <c r="AG36" s="1">
        <f t="shared" si="20"/>
        <v>-2.2844882301658719E-3</v>
      </c>
      <c r="AH36" s="1">
        <f t="shared" si="21"/>
        <v>-4.1624629660664486E-3</v>
      </c>
      <c r="AW36" s="28"/>
    </row>
    <row r="37" spans="1:49" x14ac:dyDescent="0.3">
      <c r="A37" s="120">
        <v>45338</v>
      </c>
      <c r="B37" s="121" t="s">
        <v>374</v>
      </c>
      <c r="C37" s="121" t="s">
        <v>375</v>
      </c>
      <c r="D37" s="121" t="s">
        <v>376</v>
      </c>
      <c r="E37" s="121" t="s">
        <v>377</v>
      </c>
      <c r="F37" s="121" t="s">
        <v>378</v>
      </c>
      <c r="G37" s="121" t="s">
        <v>379</v>
      </c>
      <c r="H37" s="1">
        <v>400.99853515625</v>
      </c>
      <c r="I37" s="121" t="s">
        <v>380</v>
      </c>
      <c r="J37" s="121" t="s">
        <v>381</v>
      </c>
      <c r="K37" s="121" t="s">
        <v>382</v>
      </c>
      <c r="M37" s="122">
        <v>45338</v>
      </c>
      <c r="N37" s="1">
        <f t="shared" si="2"/>
        <v>-4.1223571159516026E-3</v>
      </c>
      <c r="O37" s="1">
        <f t="shared" si="3"/>
        <v>-4.8189278140585025E-2</v>
      </c>
      <c r="P37" s="1">
        <f t="shared" si="4"/>
        <v>-1.4439139136133292E-2</v>
      </c>
      <c r="Q37" s="1">
        <f t="shared" si="5"/>
        <v>4.2607104928229214E-3</v>
      </c>
      <c r="R37" s="1">
        <f t="shared" si="6"/>
        <v>3.9023416034710936E-3</v>
      </c>
      <c r="S37" s="1">
        <f t="shared" si="7"/>
        <v>-3.3226099099799532E-3</v>
      </c>
      <c r="T37" s="1">
        <f t="shared" si="8"/>
        <v>-3.1481199551560081E-3</v>
      </c>
      <c r="U37" s="1">
        <f t="shared" si="9"/>
        <v>-1.5219272938819041E-2</v>
      </c>
      <c r="V37" s="1">
        <f t="shared" si="10"/>
        <v>-4.4507987764252403E-2</v>
      </c>
      <c r="W37" s="1">
        <f t="shared" si="11"/>
        <v>-3.1447068575795906E-2</v>
      </c>
      <c r="Y37" s="1">
        <f t="shared" si="12"/>
        <v>-5.787316248258634E-3</v>
      </c>
      <c r="Z37" s="1">
        <f t="shared" si="13"/>
        <v>-4.9854237272892059E-2</v>
      </c>
      <c r="AA37" s="1">
        <f t="shared" si="14"/>
        <v>-1.6104098268440323E-2</v>
      </c>
      <c r="AB37" s="1">
        <f t="shared" si="15"/>
        <v>2.59575136051589E-3</v>
      </c>
      <c r="AC37" s="1">
        <f t="shared" si="16"/>
        <v>2.2373824711640622E-3</v>
      </c>
      <c r="AD37" s="1">
        <f t="shared" si="17"/>
        <v>-4.9875690422869845E-3</v>
      </c>
      <c r="AE37" s="1">
        <f t="shared" si="18"/>
        <v>-4.813079087463039E-3</v>
      </c>
      <c r="AF37" s="1">
        <f t="shared" si="19"/>
        <v>-1.6884232071126073E-2</v>
      </c>
      <c r="AG37" s="1">
        <f t="shared" si="20"/>
        <v>-4.6172946896559437E-2</v>
      </c>
      <c r="AH37" s="1">
        <f t="shared" si="21"/>
        <v>-3.311202770810294E-2</v>
      </c>
      <c r="AW37" s="28"/>
    </row>
    <row r="38" spans="1:49" x14ac:dyDescent="0.3">
      <c r="A38" s="120">
        <v>45342</v>
      </c>
      <c r="B38" s="121" t="s">
        <v>383</v>
      </c>
      <c r="C38" s="121" t="s">
        <v>384</v>
      </c>
      <c r="D38" s="121" t="s">
        <v>385</v>
      </c>
      <c r="E38" s="121" t="s">
        <v>386</v>
      </c>
      <c r="F38" s="121" t="s">
        <v>387</v>
      </c>
      <c r="G38" s="121" t="s">
        <v>388</v>
      </c>
      <c r="H38" s="121" t="s">
        <v>389</v>
      </c>
      <c r="I38" s="121" t="s">
        <v>390</v>
      </c>
      <c r="J38" s="121" t="s">
        <v>391</v>
      </c>
      <c r="K38" s="121" t="s">
        <v>392</v>
      </c>
      <c r="M38" s="122">
        <v>45342</v>
      </c>
      <c r="N38" s="1">
        <f t="shared" si="2"/>
        <v>4.177267779554298E-3</v>
      </c>
      <c r="O38" s="1">
        <f t="shared" si="3"/>
        <v>-8.4854692636995039E-3</v>
      </c>
      <c r="P38" s="1">
        <f t="shared" si="4"/>
        <v>8.9969595176013738E-3</v>
      </c>
      <c r="Q38" s="1">
        <f t="shared" si="5"/>
        <v>1.008227103890468E-2</v>
      </c>
      <c r="R38" s="1">
        <f t="shared" si="6"/>
        <v>6.4887152044383889E-3</v>
      </c>
      <c r="S38" s="1">
        <f t="shared" si="7"/>
        <v>-6.8563142069592541E-3</v>
      </c>
      <c r="T38" s="1">
        <f t="shared" si="8"/>
        <v>-1.5155823755862927E-3</v>
      </c>
      <c r="U38" s="1">
        <f t="shared" si="9"/>
        <v>-3.0998027871128602E-3</v>
      </c>
      <c r="V38" s="1">
        <f t="shared" si="10"/>
        <v>-2.8923151594410217E-2</v>
      </c>
      <c r="W38" s="1">
        <f t="shared" si="11"/>
        <v>5.1991457233071005E-3</v>
      </c>
      <c r="Y38" s="1">
        <f t="shared" si="12"/>
        <v>2.5123086472472666E-3</v>
      </c>
      <c r="Z38" s="1">
        <f t="shared" si="13"/>
        <v>-1.0150428396006534E-2</v>
      </c>
      <c r="AA38" s="1">
        <f t="shared" si="14"/>
        <v>7.3320003852943424E-3</v>
      </c>
      <c r="AB38" s="1">
        <f t="shared" si="15"/>
        <v>8.4173119065976496E-3</v>
      </c>
      <c r="AC38" s="1">
        <f t="shared" si="16"/>
        <v>4.8237560721313575E-3</v>
      </c>
      <c r="AD38" s="1">
        <f t="shared" si="17"/>
        <v>-8.5212733392662846E-3</v>
      </c>
      <c r="AE38" s="1">
        <f t="shared" si="18"/>
        <v>-3.180541507893324E-3</v>
      </c>
      <c r="AF38" s="1">
        <f t="shared" si="19"/>
        <v>-4.7647619194198911E-3</v>
      </c>
      <c r="AG38" s="1">
        <f t="shared" si="20"/>
        <v>-3.0588110726717247E-2</v>
      </c>
      <c r="AH38" s="1">
        <f t="shared" si="21"/>
        <v>3.5341865910000691E-3</v>
      </c>
      <c r="AW38" s="28"/>
    </row>
    <row r="39" spans="1:49" x14ac:dyDescent="0.3">
      <c r="A39" s="120">
        <v>45343</v>
      </c>
      <c r="B39" s="121" t="s">
        <v>393</v>
      </c>
      <c r="C39" s="121" t="s">
        <v>394</v>
      </c>
      <c r="D39" s="121" t="s">
        <v>395</v>
      </c>
      <c r="E39" s="121" t="s">
        <v>396</v>
      </c>
      <c r="F39" s="121" t="s">
        <v>397</v>
      </c>
      <c r="G39" s="121" t="s">
        <v>398</v>
      </c>
      <c r="H39" s="121" t="s">
        <v>399</v>
      </c>
      <c r="I39" s="121" t="s">
        <v>400</v>
      </c>
      <c r="J39" s="1">
        <v>67.446678161621094</v>
      </c>
      <c r="K39" s="121" t="s">
        <v>401</v>
      </c>
      <c r="M39" s="122">
        <v>45343</v>
      </c>
      <c r="N39" s="1">
        <f t="shared" si="2"/>
        <v>1.1181105758909776E-2</v>
      </c>
      <c r="O39" s="1">
        <f t="shared" si="3"/>
        <v>0.10160404560163738</v>
      </c>
      <c r="P39" s="1">
        <f t="shared" si="4"/>
        <v>3.4913389689820024E-2</v>
      </c>
      <c r="Q39" s="1">
        <f t="shared" si="5"/>
        <v>1.0745265884084747E-2</v>
      </c>
      <c r="R39" s="1">
        <f t="shared" si="6"/>
        <v>1.1924219808228873E-2</v>
      </c>
      <c r="S39" s="1">
        <f t="shared" si="7"/>
        <v>3.7943684680669242E-2</v>
      </c>
      <c r="T39" s="1">
        <f t="shared" si="8"/>
        <v>2.3273666463211957E-2</v>
      </c>
      <c r="U39" s="1">
        <f t="shared" si="9"/>
        <v>2.6029590652927179E-2</v>
      </c>
      <c r="V39" s="1">
        <f t="shared" si="10"/>
        <v>0.15186984729489234</v>
      </c>
      <c r="W39" s="1">
        <f t="shared" si="11"/>
        <v>1.3463405650621376E-2</v>
      </c>
      <c r="Y39" s="1">
        <f t="shared" si="12"/>
        <v>9.516146626602745E-3</v>
      </c>
      <c r="Z39" s="1">
        <f t="shared" si="13"/>
        <v>9.9939086469330349E-2</v>
      </c>
      <c r="AA39" s="1">
        <f t="shared" si="14"/>
        <v>3.324843055751299E-2</v>
      </c>
      <c r="AB39" s="1">
        <f t="shared" si="15"/>
        <v>9.0803067517777163E-3</v>
      </c>
      <c r="AC39" s="1">
        <f t="shared" si="16"/>
        <v>1.0259260675921842E-2</v>
      </c>
      <c r="AD39" s="1">
        <f t="shared" si="17"/>
        <v>3.6278725548362208E-2</v>
      </c>
      <c r="AE39" s="1">
        <f t="shared" si="18"/>
        <v>2.1608707330904926E-2</v>
      </c>
      <c r="AF39" s="1">
        <f t="shared" si="19"/>
        <v>2.4364631520620149E-2</v>
      </c>
      <c r="AG39" s="1">
        <f t="shared" si="20"/>
        <v>0.15020488816258531</v>
      </c>
      <c r="AH39" s="1">
        <f t="shared" si="21"/>
        <v>1.1798446518314345E-2</v>
      </c>
      <c r="AW39" s="28"/>
    </row>
    <row r="40" spans="1:49" x14ac:dyDescent="0.3">
      <c r="A40" s="120">
        <v>45344</v>
      </c>
      <c r="B40" s="121" t="s">
        <v>402</v>
      </c>
      <c r="C40" s="121" t="s">
        <v>403</v>
      </c>
      <c r="D40" s="121" t="s">
        <v>404</v>
      </c>
      <c r="E40" s="121" t="s">
        <v>405</v>
      </c>
      <c r="F40" s="121" t="s">
        <v>406</v>
      </c>
      <c r="G40" s="121" t="s">
        <v>407</v>
      </c>
      <c r="H40" s="121" t="s">
        <v>408</v>
      </c>
      <c r="I40" s="1">
        <v>588.469970703125</v>
      </c>
      <c r="J40" s="1">
        <v>78.508522033691406</v>
      </c>
      <c r="K40" s="121" t="s">
        <v>409</v>
      </c>
      <c r="M40" s="122">
        <v>45344</v>
      </c>
      <c r="N40" s="1">
        <f t="shared" si="2"/>
        <v>-1.0084701134810737E-2</v>
      </c>
      <c r="O40" s="1">
        <f t="shared" si="3"/>
        <v>-2.980295504874958E-2</v>
      </c>
      <c r="P40" s="1">
        <f t="shared" si="4"/>
        <v>2.3457610294163891E-3</v>
      </c>
      <c r="Q40" s="1">
        <f t="shared" si="5"/>
        <v>-9.024995633296599E-4</v>
      </c>
      <c r="R40" s="1">
        <f t="shared" si="6"/>
        <v>5.0127622073061545E-3</v>
      </c>
      <c r="S40" s="1">
        <f t="shared" si="7"/>
        <v>-4.3292102200901249E-3</v>
      </c>
      <c r="T40" s="1">
        <f t="shared" si="8"/>
        <v>-3.1872519652686245E-3</v>
      </c>
      <c r="U40" s="1">
        <f t="shared" si="9"/>
        <v>-8.3786285357583482E-3</v>
      </c>
      <c r="V40" s="1">
        <f t="shared" si="10"/>
        <v>3.5460904508544172E-3</v>
      </c>
      <c r="W40" s="1">
        <f t="shared" si="11"/>
        <v>-2.794368665005361E-2</v>
      </c>
      <c r="Y40" s="1">
        <f t="shared" si="12"/>
        <v>-1.1749660267117767E-2</v>
      </c>
      <c r="Z40" s="1">
        <f t="shared" si="13"/>
        <v>-3.1467914181056614E-2</v>
      </c>
      <c r="AA40" s="1">
        <f t="shared" si="14"/>
        <v>6.8080189710935791E-4</v>
      </c>
      <c r="AB40" s="1">
        <f t="shared" si="15"/>
        <v>-2.5674586956366909E-3</v>
      </c>
      <c r="AC40" s="1">
        <f t="shared" si="16"/>
        <v>3.3478030749991231E-3</v>
      </c>
      <c r="AD40" s="1">
        <f t="shared" si="17"/>
        <v>-5.9941693523971563E-3</v>
      </c>
      <c r="AE40" s="1">
        <f t="shared" si="18"/>
        <v>-4.8522110975756554E-3</v>
      </c>
      <c r="AF40" s="1">
        <f t="shared" si="19"/>
        <v>-1.0043587668065379E-2</v>
      </c>
      <c r="AG40" s="1">
        <f t="shared" si="20"/>
        <v>1.881131318547386E-3</v>
      </c>
      <c r="AH40" s="1">
        <f t="shared" si="21"/>
        <v>-2.9608645782360641E-2</v>
      </c>
      <c r="AW40" s="28"/>
    </row>
    <row r="41" spans="1:49" x14ac:dyDescent="0.3">
      <c r="A41" s="120">
        <v>45345</v>
      </c>
      <c r="B41" s="121" t="s">
        <v>410</v>
      </c>
      <c r="C41" s="121" t="s">
        <v>411</v>
      </c>
      <c r="D41" s="121" t="s">
        <v>412</v>
      </c>
      <c r="E41" s="121" t="s">
        <v>413</v>
      </c>
      <c r="F41" s="121" t="s">
        <v>414</v>
      </c>
      <c r="G41" s="121" t="s">
        <v>415</v>
      </c>
      <c r="H41" s="1">
        <v>407.23095703125</v>
      </c>
      <c r="I41" s="121" t="s">
        <v>416</v>
      </c>
      <c r="J41" s="121" t="s">
        <v>417</v>
      </c>
      <c r="K41" s="121" t="s">
        <v>418</v>
      </c>
      <c r="M41" s="122">
        <v>45345</v>
      </c>
      <c r="N41" s="1">
        <f t="shared" si="2"/>
        <v>-7.4791296930921368E-3</v>
      </c>
      <c r="O41" s="1">
        <f t="shared" si="3"/>
        <v>-2.8934282086895257E-3</v>
      </c>
      <c r="P41" s="1">
        <f t="shared" si="4"/>
        <v>-1.4869599257995307E-3</v>
      </c>
      <c r="Q41" s="1">
        <f t="shared" si="5"/>
        <v>-4.5402664037916797E-2</v>
      </c>
      <c r="R41" s="1">
        <f t="shared" si="6"/>
        <v>-3.4299803589934786E-3</v>
      </c>
      <c r="S41" s="1">
        <f t="shared" si="7"/>
        <v>-4.74227769379096E-3</v>
      </c>
      <c r="T41" s="1">
        <f t="shared" si="8"/>
        <v>-6.8469795884277774E-3</v>
      </c>
      <c r="U41" s="1">
        <f t="shared" si="9"/>
        <v>6.9843041040541292E-3</v>
      </c>
      <c r="V41" s="1">
        <f t="shared" si="10"/>
        <v>3.4831891734990977E-3</v>
      </c>
      <c r="W41" s="1">
        <f t="shared" si="11"/>
        <v>3.7973710740028976E-2</v>
      </c>
      <c r="Y41" s="1">
        <f t="shared" si="12"/>
        <v>-9.1440888253991673E-3</v>
      </c>
      <c r="Z41" s="1">
        <f t="shared" si="13"/>
        <v>-4.5583873409965571E-3</v>
      </c>
      <c r="AA41" s="1">
        <f t="shared" si="14"/>
        <v>-3.1519190581065617E-3</v>
      </c>
      <c r="AB41" s="1">
        <f t="shared" si="15"/>
        <v>-4.7067623170223831E-2</v>
      </c>
      <c r="AC41" s="1">
        <f t="shared" si="16"/>
        <v>-5.0949394913005095E-3</v>
      </c>
      <c r="AD41" s="1">
        <f t="shared" si="17"/>
        <v>-6.4072368260979914E-3</v>
      </c>
      <c r="AE41" s="1">
        <f t="shared" si="18"/>
        <v>-8.5119387207348088E-3</v>
      </c>
      <c r="AF41" s="1">
        <f t="shared" si="19"/>
        <v>5.3193449717470979E-3</v>
      </c>
      <c r="AG41" s="1">
        <f t="shared" si="20"/>
        <v>1.8182300411920666E-3</v>
      </c>
      <c r="AH41" s="1">
        <f t="shared" si="21"/>
        <v>3.6308751607721942E-2</v>
      </c>
      <c r="AW41" s="28"/>
    </row>
    <row r="42" spans="1:49" x14ac:dyDescent="0.3">
      <c r="A42" s="120">
        <v>45348</v>
      </c>
      <c r="B42" s="121" t="s">
        <v>419</v>
      </c>
      <c r="C42" s="121" t="s">
        <v>420</v>
      </c>
      <c r="D42" s="121" t="s">
        <v>421</v>
      </c>
      <c r="E42" s="121" t="s">
        <v>422</v>
      </c>
      <c r="F42" s="121" t="s">
        <v>423</v>
      </c>
      <c r="G42" s="121" t="s">
        <v>424</v>
      </c>
      <c r="H42" s="121" t="s">
        <v>425</v>
      </c>
      <c r="I42" s="121" t="s">
        <v>426</v>
      </c>
      <c r="J42" s="121" t="s">
        <v>427</v>
      </c>
      <c r="K42" s="121" t="s">
        <v>428</v>
      </c>
      <c r="M42" s="122">
        <v>45348</v>
      </c>
      <c r="N42" s="1">
        <f t="shared" si="2"/>
        <v>8.0815311046059241E-3</v>
      </c>
      <c r="O42" s="1">
        <f t="shared" si="3"/>
        <v>1.1242769895598982E-2</v>
      </c>
      <c r="P42" s="1">
        <f t="shared" si="4"/>
        <v>-6.8338192215416389E-3</v>
      </c>
      <c r="Q42" s="1">
        <f t="shared" si="5"/>
        <v>9.4772993503005314E-3</v>
      </c>
      <c r="R42" s="1">
        <f t="shared" si="6"/>
        <v>4.9076669045787741E-4</v>
      </c>
      <c r="S42" s="1">
        <f t="shared" si="7"/>
        <v>1.0962261375764113E-2</v>
      </c>
      <c r="T42" s="1">
        <f t="shared" si="8"/>
        <v>-1.4729726523836771E-4</v>
      </c>
      <c r="U42" s="1">
        <f t="shared" si="9"/>
        <v>2.3577519721608889E-2</v>
      </c>
      <c r="V42" s="1">
        <f t="shared" si="10"/>
        <v>-4.9561684157604083E-3</v>
      </c>
      <c r="W42" s="1">
        <f t="shared" si="11"/>
        <v>1.6536061675678007E-3</v>
      </c>
      <c r="Y42" s="1">
        <f t="shared" si="12"/>
        <v>6.4165719722988927E-3</v>
      </c>
      <c r="Z42" s="1">
        <f t="shared" si="13"/>
        <v>9.5778107632919513E-3</v>
      </c>
      <c r="AA42" s="1">
        <f t="shared" si="14"/>
        <v>-8.4987783538486694E-3</v>
      </c>
      <c r="AB42" s="1">
        <f t="shared" si="15"/>
        <v>7.8123402179935001E-3</v>
      </c>
      <c r="AC42" s="1">
        <f t="shared" si="16"/>
        <v>-1.1741924418491537E-3</v>
      </c>
      <c r="AD42" s="1">
        <f t="shared" si="17"/>
        <v>9.297302243457083E-3</v>
      </c>
      <c r="AE42" s="1">
        <f t="shared" si="18"/>
        <v>-1.8122563975453989E-3</v>
      </c>
      <c r="AF42" s="1">
        <f t="shared" si="19"/>
        <v>2.1912560589301858E-2</v>
      </c>
      <c r="AG42" s="1">
        <f t="shared" si="20"/>
        <v>-6.6211275480674396E-3</v>
      </c>
      <c r="AH42" s="1">
        <f t="shared" si="21"/>
        <v>-1.1352964739230406E-5</v>
      </c>
      <c r="AW42" s="28"/>
    </row>
    <row r="43" spans="1:49" x14ac:dyDescent="0.3">
      <c r="A43" s="120">
        <v>45349</v>
      </c>
      <c r="B43" s="121" t="s">
        <v>429</v>
      </c>
      <c r="C43" s="1">
        <v>178</v>
      </c>
      <c r="D43" s="121" t="s">
        <v>430</v>
      </c>
      <c r="E43" s="121" t="s">
        <v>431</v>
      </c>
      <c r="F43" s="121" t="s">
        <v>432</v>
      </c>
      <c r="G43" s="121" t="s">
        <v>433</v>
      </c>
      <c r="H43" s="121" t="s">
        <v>434</v>
      </c>
      <c r="I43" s="121" t="s">
        <v>435</v>
      </c>
      <c r="J43" s="121" t="s">
        <v>436</v>
      </c>
      <c r="K43" s="121" t="s">
        <v>437</v>
      </c>
      <c r="M43" s="122">
        <v>45349</v>
      </c>
      <c r="N43" s="1">
        <f t="shared" si="2"/>
        <v>-6.647472956152695E-3</v>
      </c>
      <c r="O43" s="1">
        <f t="shared" si="3"/>
        <v>-8.2361087302925025E-3</v>
      </c>
      <c r="P43" s="1">
        <f t="shared" si="4"/>
        <v>-2.1920379551364525E-3</v>
      </c>
      <c r="Q43" s="1">
        <f t="shared" si="5"/>
        <v>-1.816520993709177E-2</v>
      </c>
      <c r="R43" s="1">
        <f t="shared" si="6"/>
        <v>5.0567509096239079E-3</v>
      </c>
      <c r="S43" s="1">
        <f t="shared" si="7"/>
        <v>-6.240612833116518E-3</v>
      </c>
      <c r="T43" s="1">
        <f t="shared" si="8"/>
        <v>5.8875724359713582E-4</v>
      </c>
      <c r="U43" s="1">
        <f t="shared" si="9"/>
        <v>-8.6634145327254605E-3</v>
      </c>
      <c r="V43" s="1">
        <f t="shared" si="10"/>
        <v>-1.327674636860921E-2</v>
      </c>
      <c r="W43" s="1">
        <f t="shared" si="11"/>
        <v>1.1499231283564186E-2</v>
      </c>
      <c r="Y43" s="1">
        <f t="shared" si="12"/>
        <v>-8.3124320884597255E-3</v>
      </c>
      <c r="Z43" s="1">
        <f t="shared" si="13"/>
        <v>-9.901067862599533E-3</v>
      </c>
      <c r="AA43" s="1">
        <f t="shared" si="14"/>
        <v>-3.8569970874434839E-3</v>
      </c>
      <c r="AB43" s="1">
        <f t="shared" si="15"/>
        <v>-1.9830169069398801E-2</v>
      </c>
      <c r="AC43" s="1">
        <f t="shared" si="16"/>
        <v>3.3917917773168766E-3</v>
      </c>
      <c r="AD43" s="1">
        <f t="shared" si="17"/>
        <v>-7.9055719654235485E-3</v>
      </c>
      <c r="AE43" s="1">
        <f t="shared" si="18"/>
        <v>-1.0762018887098953E-3</v>
      </c>
      <c r="AF43" s="1">
        <f t="shared" si="19"/>
        <v>-1.0328373665032491E-2</v>
      </c>
      <c r="AG43" s="1">
        <f t="shared" si="20"/>
        <v>-1.494170550091624E-2</v>
      </c>
      <c r="AH43" s="1">
        <f t="shared" si="21"/>
        <v>9.8342721512571559E-3</v>
      </c>
      <c r="AW43" s="28"/>
    </row>
    <row r="44" spans="1:49" x14ac:dyDescent="0.3">
      <c r="A44" s="120">
        <v>45350</v>
      </c>
      <c r="B44" s="1">
        <v>180.5673828125</v>
      </c>
      <c r="C44" s="121" t="s">
        <v>438</v>
      </c>
      <c r="D44" s="121" t="s">
        <v>439</v>
      </c>
      <c r="E44" s="121" t="s">
        <v>440</v>
      </c>
      <c r="F44" s="1">
        <v>180.25927734375</v>
      </c>
      <c r="G44" s="121" t="s">
        <v>441</v>
      </c>
      <c r="H44" s="121" t="s">
        <v>442</v>
      </c>
      <c r="I44" s="1">
        <v>596.47998046875</v>
      </c>
      <c r="J44" s="121" t="s">
        <v>443</v>
      </c>
      <c r="K44" s="121" t="s">
        <v>444</v>
      </c>
      <c r="M44" s="122">
        <v>45350</v>
      </c>
      <c r="N44" s="1">
        <f t="shared" si="2"/>
        <v>-3.6998596111320727E-3</v>
      </c>
      <c r="O44" s="1">
        <f t="shared" si="3"/>
        <v>8.6704537839120133E-2</v>
      </c>
      <c r="P44" s="1">
        <f t="shared" si="4"/>
        <v>2.0576805463089619E-2</v>
      </c>
      <c r="Q44" s="1">
        <f t="shared" si="5"/>
        <v>1.5136450795203649E-2</v>
      </c>
      <c r="R44" s="1">
        <f t="shared" si="6"/>
        <v>9.0702868430368247E-3</v>
      </c>
      <c r="S44" s="1">
        <f t="shared" si="7"/>
        <v>1.2544450495867285E-2</v>
      </c>
      <c r="T44" s="1">
        <f t="shared" si="8"/>
        <v>1.4415458686198233E-2</v>
      </c>
      <c r="U44" s="1">
        <f t="shared" si="9"/>
        <v>1.0738810284212513E-2</v>
      </c>
      <c r="V44" s="1">
        <f t="shared" si="10"/>
        <v>1.8485612385661914E-2</v>
      </c>
      <c r="W44" s="1">
        <f t="shared" si="11"/>
        <v>-7.9217871069496809E-4</v>
      </c>
      <c r="Y44" s="1">
        <f t="shared" si="12"/>
        <v>-5.364818743439104E-3</v>
      </c>
      <c r="Z44" s="1">
        <f t="shared" si="13"/>
        <v>8.5039578706813099E-2</v>
      </c>
      <c r="AA44" s="1">
        <f t="shared" si="14"/>
        <v>1.8911846330782588E-2</v>
      </c>
      <c r="AB44" s="1">
        <f t="shared" si="15"/>
        <v>1.3471491662896618E-2</v>
      </c>
      <c r="AC44" s="1">
        <f t="shared" si="16"/>
        <v>7.4053277107297933E-3</v>
      </c>
      <c r="AD44" s="1">
        <f t="shared" si="17"/>
        <v>1.0879491363560255E-2</v>
      </c>
      <c r="AE44" s="1">
        <f t="shared" si="18"/>
        <v>1.2750499553891202E-2</v>
      </c>
      <c r="AF44" s="1">
        <f t="shared" si="19"/>
        <v>9.0738511519054821E-3</v>
      </c>
      <c r="AG44" s="1">
        <f t="shared" si="20"/>
        <v>1.6820653253354884E-2</v>
      </c>
      <c r="AH44" s="1">
        <f t="shared" si="21"/>
        <v>-2.4571378430019992E-3</v>
      </c>
      <c r="AW44" s="28"/>
    </row>
    <row r="45" spans="1:49" x14ac:dyDescent="0.3">
      <c r="A45" s="120">
        <v>45351</v>
      </c>
      <c r="B45" s="121" t="s">
        <v>445</v>
      </c>
      <c r="C45" s="121" t="s">
        <v>446</v>
      </c>
      <c r="D45" s="121" t="s">
        <v>365</v>
      </c>
      <c r="E45" s="121" t="s">
        <v>447</v>
      </c>
      <c r="F45" s="121" t="s">
        <v>448</v>
      </c>
      <c r="G45" s="121" t="s">
        <v>449</v>
      </c>
      <c r="H45" s="121" t="s">
        <v>450</v>
      </c>
      <c r="I45" s="121" t="s">
        <v>451</v>
      </c>
      <c r="J45" s="121" t="s">
        <v>452</v>
      </c>
      <c r="K45" s="121" t="s">
        <v>453</v>
      </c>
      <c r="M45" s="122">
        <v>45351</v>
      </c>
      <c r="N45" s="1">
        <f t="shared" si="2"/>
        <v>-6.048725682827813E-3</v>
      </c>
      <c r="O45" s="1">
        <f t="shared" si="3"/>
        <v>5.1179023280505533E-2</v>
      </c>
      <c r="P45" s="1">
        <f t="shared" si="4"/>
        <v>8.2258998484203115E-3</v>
      </c>
      <c r="Q45" s="1">
        <f t="shared" si="5"/>
        <v>-9.5791846976319827E-3</v>
      </c>
      <c r="R45" s="1">
        <f t="shared" si="6"/>
        <v>-4.14712790280911E-3</v>
      </c>
      <c r="S45" s="1">
        <f t="shared" si="7"/>
        <v>2.4526825931313199E-2</v>
      </c>
      <c r="T45" s="1">
        <f t="shared" si="8"/>
        <v>4.4865330401230993E-3</v>
      </c>
      <c r="U45" s="1">
        <f t="shared" si="9"/>
        <v>2.6869948674615778E-2</v>
      </c>
      <c r="V45" s="1">
        <f t="shared" si="10"/>
        <v>3.9251228188602182E-2</v>
      </c>
      <c r="W45" s="1">
        <f t="shared" si="11"/>
        <v>3.7575170226519087E-3</v>
      </c>
      <c r="Y45" s="1">
        <f t="shared" si="12"/>
        <v>-7.7136848151348443E-3</v>
      </c>
      <c r="Z45" s="1">
        <f t="shared" si="13"/>
        <v>4.9514064148198499E-2</v>
      </c>
      <c r="AA45" s="1">
        <f t="shared" si="14"/>
        <v>6.5609407161132801E-3</v>
      </c>
      <c r="AB45" s="1">
        <f t="shared" si="15"/>
        <v>-1.1244143829939013E-2</v>
      </c>
      <c r="AC45" s="1">
        <f t="shared" si="16"/>
        <v>-5.8120870351161414E-3</v>
      </c>
      <c r="AD45" s="1">
        <f t="shared" si="17"/>
        <v>2.2861866799006168E-2</v>
      </c>
      <c r="AE45" s="1">
        <f t="shared" si="18"/>
        <v>2.8215739078160679E-3</v>
      </c>
      <c r="AF45" s="1">
        <f t="shared" si="19"/>
        <v>2.5204989542308747E-2</v>
      </c>
      <c r="AG45" s="1">
        <f t="shared" si="20"/>
        <v>3.7586269056295148E-2</v>
      </c>
      <c r="AH45" s="1">
        <f t="shared" si="21"/>
        <v>2.0925578903448778E-3</v>
      </c>
      <c r="AW45" s="28"/>
    </row>
    <row r="46" spans="1:49" x14ac:dyDescent="0.3">
      <c r="A46" s="120">
        <v>45352</v>
      </c>
      <c r="B46" s="121" t="s">
        <v>454</v>
      </c>
      <c r="C46" s="121" t="s">
        <v>455</v>
      </c>
      <c r="D46" s="121" t="s">
        <v>456</v>
      </c>
      <c r="E46" s="121" t="s">
        <v>457</v>
      </c>
      <c r="F46" s="121" t="s">
        <v>458</v>
      </c>
      <c r="G46" s="121" t="s">
        <v>459</v>
      </c>
      <c r="H46" s="121" t="s">
        <v>460</v>
      </c>
      <c r="I46" s="121" t="s">
        <v>461</v>
      </c>
      <c r="J46" s="121" t="s">
        <v>462</v>
      </c>
      <c r="K46" s="121" t="s">
        <v>455</v>
      </c>
      <c r="M46" s="122">
        <v>45352</v>
      </c>
      <c r="N46" s="1">
        <f t="shared" si="2"/>
        <v>-2.5708875816441965E-2</v>
      </c>
      <c r="O46" s="1">
        <f t="shared" si="3"/>
        <v>1.3333536853569233E-2</v>
      </c>
      <c r="P46" s="1">
        <f t="shared" si="4"/>
        <v>-3.5975271186596859E-3</v>
      </c>
      <c r="Q46" s="1">
        <f t="shared" si="5"/>
        <v>-2.8024983890540152E-2</v>
      </c>
      <c r="R46" s="1">
        <f t="shared" si="6"/>
        <v>7.4738280498783238E-3</v>
      </c>
      <c r="S46" s="1">
        <f t="shared" si="7"/>
        <v>-8.2159624488674539E-3</v>
      </c>
      <c r="T46" s="1">
        <f t="shared" si="8"/>
        <v>-1.3967770497804745E-3</v>
      </c>
      <c r="U46" s="1">
        <f t="shared" si="9"/>
        <v>-5.6834591012005177E-3</v>
      </c>
      <c r="V46" s="1">
        <f t="shared" si="10"/>
        <v>3.5319753800303215E-2</v>
      </c>
      <c r="W46" s="1">
        <f t="shared" si="11"/>
        <v>-7.4244639381750147E-2</v>
      </c>
      <c r="Y46" s="1">
        <f t="shared" si="12"/>
        <v>-2.7373834948748996E-2</v>
      </c>
      <c r="Z46" s="1">
        <f t="shared" si="13"/>
        <v>1.1668577721262202E-2</v>
      </c>
      <c r="AA46" s="1">
        <f t="shared" si="14"/>
        <v>-5.2624862509667173E-3</v>
      </c>
      <c r="AB46" s="1">
        <f t="shared" si="15"/>
        <v>-2.9689943022847182E-2</v>
      </c>
      <c r="AC46" s="1">
        <f t="shared" si="16"/>
        <v>5.8088689175712924E-3</v>
      </c>
      <c r="AD46" s="1">
        <f t="shared" si="17"/>
        <v>-9.8809215811744844E-3</v>
      </c>
      <c r="AE46" s="1">
        <f t="shared" si="18"/>
        <v>-3.0617361820875055E-3</v>
      </c>
      <c r="AF46" s="1">
        <f t="shared" si="19"/>
        <v>-7.348418233507549E-3</v>
      </c>
      <c r="AG46" s="1">
        <f t="shared" si="20"/>
        <v>3.3654794667996181E-2</v>
      </c>
      <c r="AH46" s="1">
        <f t="shared" si="21"/>
        <v>-7.5909598514057181E-2</v>
      </c>
      <c r="AW46" s="28"/>
    </row>
    <row r="47" spans="1:49" x14ac:dyDescent="0.3">
      <c r="A47" s="120">
        <v>45355</v>
      </c>
      <c r="B47" s="1">
        <v>174.277099609375</v>
      </c>
      <c r="C47" s="121" t="s">
        <v>463</v>
      </c>
      <c r="D47" s="121" t="s">
        <v>464</v>
      </c>
      <c r="E47" s="121" t="s">
        <v>465</v>
      </c>
      <c r="F47" s="121" t="s">
        <v>466</v>
      </c>
      <c r="G47" s="1">
        <v>496.379150390625</v>
      </c>
      <c r="H47" s="121" t="s">
        <v>467</v>
      </c>
      <c r="I47" s="121" t="s">
        <v>468</v>
      </c>
      <c r="J47" s="121" t="s">
        <v>469</v>
      </c>
      <c r="K47" s="121" t="s">
        <v>470</v>
      </c>
      <c r="M47" s="122">
        <v>45355</v>
      </c>
      <c r="N47" s="1">
        <f t="shared" si="2"/>
        <v>-2.8853216296703336E-2</v>
      </c>
      <c r="O47" s="1">
        <f t="shared" si="3"/>
        <v>-1.1205912374421911E-3</v>
      </c>
      <c r="P47" s="1">
        <f t="shared" si="4"/>
        <v>-1.9676533274038149E-2</v>
      </c>
      <c r="Q47" s="1">
        <f t="shared" si="5"/>
        <v>-5.1124739638988186E-3</v>
      </c>
      <c r="R47" s="1">
        <f t="shared" si="6"/>
        <v>9.9673540901145385E-3</v>
      </c>
      <c r="S47" s="1">
        <f t="shared" si="7"/>
        <v>-1.6127218122801368E-2</v>
      </c>
      <c r="T47" s="1">
        <f t="shared" si="8"/>
        <v>-3.001825787926729E-2</v>
      </c>
      <c r="U47" s="1">
        <f t="shared" si="9"/>
        <v>-2.8544454172588381E-2</v>
      </c>
      <c r="V47" s="1">
        <f t="shared" si="10"/>
        <v>8.5399071294096646E-3</v>
      </c>
      <c r="W47" s="1">
        <f t="shared" si="11"/>
        <v>-4.0126798433228479E-2</v>
      </c>
      <c r="Y47" s="1">
        <f t="shared" si="12"/>
        <v>-3.0518175429010367E-2</v>
      </c>
      <c r="Z47" s="1">
        <f t="shared" si="13"/>
        <v>-2.785550369749222E-3</v>
      </c>
      <c r="AA47" s="1">
        <f t="shared" si="14"/>
        <v>-2.134149240634518E-2</v>
      </c>
      <c r="AB47" s="1">
        <f t="shared" si="15"/>
        <v>-6.77743309620585E-3</v>
      </c>
      <c r="AC47" s="1">
        <f t="shared" si="16"/>
        <v>8.3023949578075081E-3</v>
      </c>
      <c r="AD47" s="1">
        <f t="shared" si="17"/>
        <v>-1.7792177255108399E-2</v>
      </c>
      <c r="AE47" s="1">
        <f t="shared" si="18"/>
        <v>-3.1683217011574324E-2</v>
      </c>
      <c r="AF47" s="1">
        <f t="shared" si="19"/>
        <v>-3.0209413304895412E-2</v>
      </c>
      <c r="AG47" s="1">
        <f t="shared" si="20"/>
        <v>6.8749479971026333E-3</v>
      </c>
      <c r="AH47" s="1">
        <f t="shared" si="21"/>
        <v>-4.1791757565535513E-2</v>
      </c>
      <c r="AW47" s="28"/>
    </row>
    <row r="48" spans="1:49" x14ac:dyDescent="0.3">
      <c r="A48" s="120">
        <v>45356</v>
      </c>
      <c r="B48" s="121" t="s">
        <v>471</v>
      </c>
      <c r="C48" s="121" t="s">
        <v>472</v>
      </c>
      <c r="D48" s="121" t="s">
        <v>473</v>
      </c>
      <c r="E48" s="121" t="s">
        <v>474</v>
      </c>
      <c r="F48" s="121" t="s">
        <v>475</v>
      </c>
      <c r="G48" s="121" t="s">
        <v>476</v>
      </c>
      <c r="H48" s="121" t="s">
        <v>477</v>
      </c>
      <c r="I48" s="1">
        <v>598.5</v>
      </c>
      <c r="J48" s="121" t="s">
        <v>478</v>
      </c>
      <c r="K48" s="121" t="s">
        <v>479</v>
      </c>
      <c r="M48" s="122">
        <v>45356</v>
      </c>
      <c r="N48" s="1">
        <f t="shared" si="2"/>
        <v>-5.8955479224686103E-3</v>
      </c>
      <c r="O48" s="1">
        <f t="shared" si="3"/>
        <v>2.6459114581661235E-2</v>
      </c>
      <c r="P48" s="1">
        <f t="shared" si="4"/>
        <v>-3.5094856867813359E-3</v>
      </c>
      <c r="Q48" s="1">
        <f t="shared" si="5"/>
        <v>-9.6187720687004805E-3</v>
      </c>
      <c r="R48" s="1">
        <f t="shared" si="6"/>
        <v>5.1841077049594028E-3</v>
      </c>
      <c r="S48" s="1">
        <f t="shared" si="7"/>
        <v>1.1903029585646655E-2</v>
      </c>
      <c r="T48" s="1">
        <f t="shared" si="8"/>
        <v>-1.3916743298453885E-3</v>
      </c>
      <c r="U48" s="1">
        <f t="shared" si="9"/>
        <v>-1.3542960244499051E-3</v>
      </c>
      <c r="V48" s="1">
        <f t="shared" si="10"/>
        <v>3.1331269326095791E-2</v>
      </c>
      <c r="W48" s="1">
        <f t="shared" si="11"/>
        <v>-2.3512123304647047E-2</v>
      </c>
      <c r="Y48" s="1">
        <f t="shared" si="12"/>
        <v>-7.5605070547756417E-3</v>
      </c>
      <c r="Z48" s="1">
        <f t="shared" si="13"/>
        <v>2.4794155449354205E-2</v>
      </c>
      <c r="AA48" s="1">
        <f t="shared" si="14"/>
        <v>-5.1744448190883668E-3</v>
      </c>
      <c r="AB48" s="1">
        <f t="shared" si="15"/>
        <v>-1.1283731201007511E-2</v>
      </c>
      <c r="AC48" s="1">
        <f t="shared" si="16"/>
        <v>3.5191485726523714E-3</v>
      </c>
      <c r="AD48" s="1">
        <f t="shared" si="17"/>
        <v>1.0238070453339625E-2</v>
      </c>
      <c r="AE48" s="1">
        <f t="shared" si="18"/>
        <v>-3.0566334621524196E-3</v>
      </c>
      <c r="AF48" s="1">
        <f t="shared" si="19"/>
        <v>-3.0192551567569362E-3</v>
      </c>
      <c r="AG48" s="1">
        <f t="shared" si="20"/>
        <v>2.9666310193788761E-2</v>
      </c>
      <c r="AH48" s="1">
        <f t="shared" si="21"/>
        <v>-2.5177082436954077E-2</v>
      </c>
      <c r="AW48" s="28"/>
    </row>
    <row r="49" spans="1:49" x14ac:dyDescent="0.3">
      <c r="A49" s="120">
        <v>45357</v>
      </c>
      <c r="B49" s="1">
        <v>168.3251953125</v>
      </c>
      <c r="C49" s="121" t="s">
        <v>480</v>
      </c>
      <c r="D49" s="121" t="s">
        <v>481</v>
      </c>
      <c r="E49" s="121" t="s">
        <v>482</v>
      </c>
      <c r="F49" s="121" t="s">
        <v>483</v>
      </c>
      <c r="G49" s="121" t="s">
        <v>484</v>
      </c>
      <c r="H49" s="121" t="s">
        <v>485</v>
      </c>
      <c r="I49" s="121" t="s">
        <v>486</v>
      </c>
      <c r="J49" s="121" t="s">
        <v>487</v>
      </c>
      <c r="K49" s="121" t="s">
        <v>438</v>
      </c>
      <c r="M49" s="122">
        <v>45357</v>
      </c>
      <c r="N49" s="1">
        <f t="shared" si="2"/>
        <v>-7.0986521527870779E-4</v>
      </c>
      <c r="O49" s="1">
        <f t="shared" si="3"/>
        <v>3.5544218016820479E-3</v>
      </c>
      <c r="P49" s="1">
        <f t="shared" si="4"/>
        <v>1.8897104445033088E-2</v>
      </c>
      <c r="Q49" s="1">
        <f t="shared" si="5"/>
        <v>2.2425614926123494E-2</v>
      </c>
      <c r="R49" s="1">
        <f t="shared" si="6"/>
        <v>-8.7971383842380211E-3</v>
      </c>
      <c r="S49" s="1">
        <f t="shared" si="7"/>
        <v>3.1938278108530636E-2</v>
      </c>
      <c r="T49" s="1">
        <f t="shared" si="8"/>
        <v>1.7381598931310489E-2</v>
      </c>
      <c r="U49" s="1">
        <f t="shared" si="9"/>
        <v>1.7941133221129817E-2</v>
      </c>
      <c r="V49" s="1">
        <f t="shared" si="10"/>
        <v>4.3774044102828702E-2</v>
      </c>
      <c r="W49" s="1">
        <f t="shared" si="11"/>
        <v>1.1881108742968403E-2</v>
      </c>
      <c r="Y49" s="1">
        <f t="shared" si="12"/>
        <v>-2.374824347585739E-3</v>
      </c>
      <c r="Z49" s="1">
        <f t="shared" si="13"/>
        <v>1.8894626693750167E-3</v>
      </c>
      <c r="AA49" s="1">
        <f t="shared" si="14"/>
        <v>1.7232145312726058E-2</v>
      </c>
      <c r="AB49" s="1">
        <f t="shared" si="15"/>
        <v>2.0760655793816463E-2</v>
      </c>
      <c r="AC49" s="1">
        <f t="shared" si="16"/>
        <v>-1.0462097516545052E-2</v>
      </c>
      <c r="AD49" s="1">
        <f t="shared" si="17"/>
        <v>3.0273318976223606E-2</v>
      </c>
      <c r="AE49" s="1">
        <f t="shared" si="18"/>
        <v>1.5716639799003458E-2</v>
      </c>
      <c r="AF49" s="1">
        <f t="shared" si="19"/>
        <v>1.6276174088822787E-2</v>
      </c>
      <c r="AG49" s="1">
        <f t="shared" si="20"/>
        <v>4.2109084970521668E-2</v>
      </c>
      <c r="AH49" s="1">
        <f t="shared" si="21"/>
        <v>1.0216149610661373E-2</v>
      </c>
      <c r="AW49" s="28"/>
    </row>
    <row r="50" spans="1:49" x14ac:dyDescent="0.3">
      <c r="A50" s="120">
        <v>45358</v>
      </c>
      <c r="B50" s="121" t="s">
        <v>488</v>
      </c>
      <c r="C50" s="121" t="s">
        <v>489</v>
      </c>
      <c r="D50" s="121" t="s">
        <v>490</v>
      </c>
      <c r="E50" s="121" t="s">
        <v>491</v>
      </c>
      <c r="F50" s="121" t="s">
        <v>492</v>
      </c>
      <c r="G50" s="121" t="s">
        <v>493</v>
      </c>
      <c r="H50" s="121" t="s">
        <v>494</v>
      </c>
      <c r="I50" s="1">
        <v>608.510009765625</v>
      </c>
      <c r="J50" s="1">
        <v>92.6385498046875</v>
      </c>
      <c r="K50" s="121" t="s">
        <v>495</v>
      </c>
      <c r="M50" s="122">
        <v>45358</v>
      </c>
      <c r="N50" s="1">
        <f t="shared" si="2"/>
        <v>1.0184696645725074E-2</v>
      </c>
      <c r="O50" s="1">
        <f t="shared" si="3"/>
        <v>-1.9056408998620905E-2</v>
      </c>
      <c r="P50" s="1">
        <f t="shared" si="4"/>
        <v>-8.3482960057444291E-3</v>
      </c>
      <c r="Q50" s="1">
        <f t="shared" si="5"/>
        <v>7.63550412468677E-3</v>
      </c>
      <c r="R50" s="1">
        <f t="shared" si="6"/>
        <v>1.8612601307547421E-3</v>
      </c>
      <c r="S50" s="1">
        <f t="shared" si="7"/>
        <v>-1.2257734022188721E-2</v>
      </c>
      <c r="T50" s="1">
        <f t="shared" si="8"/>
        <v>-7.1626168179122806E-3</v>
      </c>
      <c r="U50" s="1">
        <f t="shared" si="9"/>
        <v>-6.0824569833276129E-3</v>
      </c>
      <c r="V50" s="1">
        <f t="shared" si="10"/>
        <v>-5.7075111202494699E-2</v>
      </c>
      <c r="W50" s="1">
        <f t="shared" si="11"/>
        <v>-1.8701625030086627E-2</v>
      </c>
      <c r="Y50" s="1">
        <f t="shared" si="12"/>
        <v>8.5197375134180436E-3</v>
      </c>
      <c r="Z50" s="1">
        <f t="shared" si="13"/>
        <v>-2.0721368130927936E-2</v>
      </c>
      <c r="AA50" s="1">
        <f t="shared" si="14"/>
        <v>-1.001325513805146E-2</v>
      </c>
      <c r="AB50" s="1">
        <f t="shared" si="15"/>
        <v>5.9705449923797387E-3</v>
      </c>
      <c r="AC50" s="1">
        <f t="shared" si="16"/>
        <v>1.9630099844771096E-4</v>
      </c>
      <c r="AD50" s="1">
        <f t="shared" si="17"/>
        <v>-1.3922693154495751E-2</v>
      </c>
      <c r="AE50" s="1">
        <f t="shared" si="18"/>
        <v>-8.8275759502193119E-3</v>
      </c>
      <c r="AF50" s="1">
        <f t="shared" si="19"/>
        <v>-7.7474161156346442E-3</v>
      </c>
      <c r="AG50" s="1">
        <f t="shared" si="20"/>
        <v>-5.8740070334801733E-2</v>
      </c>
      <c r="AH50" s="1">
        <f t="shared" si="21"/>
        <v>-2.0366584162393658E-2</v>
      </c>
      <c r="AW50" s="28"/>
    </row>
    <row r="51" spans="1:49" x14ac:dyDescent="0.3">
      <c r="A51" s="120">
        <v>45359</v>
      </c>
      <c r="B51" s="121" t="s">
        <v>496</v>
      </c>
      <c r="C51" s="121" t="s">
        <v>497</v>
      </c>
      <c r="D51" s="121" t="s">
        <v>498</v>
      </c>
      <c r="E51" s="121" t="s">
        <v>499</v>
      </c>
      <c r="F51" s="121" t="s">
        <v>500</v>
      </c>
      <c r="G51" s="121" t="s">
        <v>501</v>
      </c>
      <c r="H51" s="121" t="s">
        <v>502</v>
      </c>
      <c r="I51" s="121" t="s">
        <v>503</v>
      </c>
      <c r="J51" s="121" t="s">
        <v>504</v>
      </c>
      <c r="K51" s="121" t="s">
        <v>505</v>
      </c>
      <c r="M51" s="122">
        <v>45359</v>
      </c>
      <c r="N51" s="1">
        <f t="shared" si="2"/>
        <v>1.1762051078981837E-2</v>
      </c>
      <c r="O51" s="1">
        <f t="shared" si="3"/>
        <v>-4.4366288404113052E-2</v>
      </c>
      <c r="P51" s="1">
        <f t="shared" si="4"/>
        <v>-1.9522080722529568E-2</v>
      </c>
      <c r="Q51" s="1">
        <f t="shared" si="5"/>
        <v>1.6552347529344331E-2</v>
      </c>
      <c r="R51" s="1">
        <f t="shared" si="6"/>
        <v>3.7175378090950064E-4</v>
      </c>
      <c r="S51" s="1">
        <f t="shared" si="7"/>
        <v>-4.5200519251849959E-2</v>
      </c>
      <c r="T51" s="1">
        <f t="shared" si="8"/>
        <v>-4.1937414868671698E-3</v>
      </c>
      <c r="U51" s="1">
        <f t="shared" si="9"/>
        <v>-6.4524621935233579E-3</v>
      </c>
      <c r="V51" s="1">
        <f t="shared" si="10"/>
        <v>-2.0242831517904406E-2</v>
      </c>
      <c r="W51" s="1">
        <f t="shared" si="11"/>
        <v>1.3763678693558276E-2</v>
      </c>
      <c r="Y51" s="1">
        <f t="shared" si="12"/>
        <v>1.0097091946674807E-2</v>
      </c>
      <c r="Z51" s="1">
        <f t="shared" si="13"/>
        <v>-4.6031247536420086E-2</v>
      </c>
      <c r="AA51" s="1">
        <f t="shared" si="14"/>
        <v>-2.1187039854836599E-2</v>
      </c>
      <c r="AB51" s="1">
        <f t="shared" si="15"/>
        <v>1.48873883970373E-2</v>
      </c>
      <c r="AC51" s="1">
        <f t="shared" si="16"/>
        <v>-1.2932053513975304E-3</v>
      </c>
      <c r="AD51" s="1">
        <f t="shared" si="17"/>
        <v>-4.6865478384156993E-2</v>
      </c>
      <c r="AE51" s="1">
        <f t="shared" si="18"/>
        <v>-5.8587006191742012E-3</v>
      </c>
      <c r="AF51" s="1">
        <f t="shared" si="19"/>
        <v>-8.1174213258303884E-3</v>
      </c>
      <c r="AG51" s="1">
        <f t="shared" si="20"/>
        <v>-2.1907790650211437E-2</v>
      </c>
      <c r="AH51" s="1">
        <f t="shared" si="21"/>
        <v>1.2098719561251246E-2</v>
      </c>
      <c r="AW51" s="28"/>
    </row>
    <row r="52" spans="1:49" x14ac:dyDescent="0.3">
      <c r="A52" s="120">
        <v>45362</v>
      </c>
      <c r="B52" s="121" t="s">
        <v>506</v>
      </c>
      <c r="C52" s="121" t="s">
        <v>507</v>
      </c>
      <c r="D52" s="121" t="s">
        <v>508</v>
      </c>
      <c r="E52" s="121" t="s">
        <v>509</v>
      </c>
      <c r="F52" s="121" t="s">
        <v>510</v>
      </c>
      <c r="G52" s="121" t="s">
        <v>511</v>
      </c>
      <c r="H52" s="121" t="s">
        <v>512</v>
      </c>
      <c r="I52" s="121" t="s">
        <v>513</v>
      </c>
      <c r="J52" s="1">
        <v>85.745826721191406</v>
      </c>
      <c r="K52" s="121" t="s">
        <v>514</v>
      </c>
      <c r="M52" s="122">
        <v>45362</v>
      </c>
      <c r="N52" s="1">
        <f t="shared" si="2"/>
        <v>2.774689703110044E-3</v>
      </c>
      <c r="O52" s="1">
        <f t="shared" si="3"/>
        <v>2.1788199234037423E-2</v>
      </c>
      <c r="P52" s="1">
        <f t="shared" si="4"/>
        <v>1.9750131618805906E-2</v>
      </c>
      <c r="Q52" s="1">
        <f t="shared" si="5"/>
        <v>6.0106914133164447E-3</v>
      </c>
      <c r="R52" s="1">
        <f t="shared" si="6"/>
        <v>8.1983218381778879E-3</v>
      </c>
      <c r="S52" s="1">
        <f t="shared" si="7"/>
        <v>3.2870651269191468E-2</v>
      </c>
      <c r="T52" s="1">
        <f t="shared" si="8"/>
        <v>2.6251796918344884E-2</v>
      </c>
      <c r="U52" s="1">
        <f t="shared" si="9"/>
        <v>1.67494684462863E-2</v>
      </c>
      <c r="V52" s="1">
        <f t="shared" si="10"/>
        <v>6.9126571044138538E-2</v>
      </c>
      <c r="W52" s="1">
        <f t="shared" si="11"/>
        <v>-1.2947061441468011E-3</v>
      </c>
      <c r="Y52" s="1">
        <f t="shared" si="12"/>
        <v>1.1097305708030129E-3</v>
      </c>
      <c r="Z52" s="1">
        <f t="shared" si="13"/>
        <v>2.0123240101730392E-2</v>
      </c>
      <c r="AA52" s="1">
        <f t="shared" si="14"/>
        <v>1.8085172486498876E-2</v>
      </c>
      <c r="AB52" s="1">
        <f t="shared" si="15"/>
        <v>4.3457322810094134E-3</v>
      </c>
      <c r="AC52" s="1">
        <f t="shared" si="16"/>
        <v>6.5333627058708566E-3</v>
      </c>
      <c r="AD52" s="1">
        <f t="shared" si="17"/>
        <v>3.1205692136884438E-2</v>
      </c>
      <c r="AE52" s="1">
        <f t="shared" si="18"/>
        <v>2.4586837786037853E-2</v>
      </c>
      <c r="AF52" s="1">
        <f t="shared" si="19"/>
        <v>1.5084509313979269E-2</v>
      </c>
      <c r="AG52" s="1">
        <f t="shared" si="20"/>
        <v>6.7461611911831504E-2</v>
      </c>
      <c r="AH52" s="1">
        <f t="shared" si="21"/>
        <v>-2.9596652764538323E-3</v>
      </c>
      <c r="AW52" s="28"/>
    </row>
    <row r="53" spans="1:49" x14ac:dyDescent="0.3">
      <c r="A53" s="120">
        <v>45363</v>
      </c>
      <c r="B53" s="121" t="s">
        <v>515</v>
      </c>
      <c r="C53" s="121" t="s">
        <v>516</v>
      </c>
      <c r="D53" s="121" t="s">
        <v>517</v>
      </c>
      <c r="E53" s="121" t="s">
        <v>518</v>
      </c>
      <c r="F53" s="121" t="s">
        <v>519</v>
      </c>
      <c r="G53" s="121" t="s">
        <v>520</v>
      </c>
      <c r="H53" s="121" t="s">
        <v>521</v>
      </c>
      <c r="I53" s="121" t="s">
        <v>522</v>
      </c>
      <c r="J53" s="1">
        <v>91.8828125</v>
      </c>
      <c r="K53" s="121" t="s">
        <v>523</v>
      </c>
      <c r="M53" s="122">
        <v>45363</v>
      </c>
      <c r="N53" s="1">
        <f t="shared" si="2"/>
        <v>-1.2196528924675425E-2</v>
      </c>
      <c r="O53" s="1">
        <f t="shared" si="3"/>
        <v>-4.0100965790898654E-2</v>
      </c>
      <c r="P53" s="1">
        <f t="shared" si="4"/>
        <v>6.648685830771192E-3</v>
      </c>
      <c r="Q53" s="1">
        <f t="shared" si="5"/>
        <v>9.2710624458026015E-3</v>
      </c>
      <c r="R53" s="1">
        <f t="shared" si="6"/>
        <v>8.0794630078767412E-3</v>
      </c>
      <c r="S53" s="1">
        <f t="shared" si="7"/>
        <v>-8.3993965395289093E-3</v>
      </c>
      <c r="T53" s="1">
        <f t="shared" si="8"/>
        <v>-4.3342164397403081E-4</v>
      </c>
      <c r="U53" s="1">
        <f t="shared" si="9"/>
        <v>-2.6709803327120531E-3</v>
      </c>
      <c r="V53" s="1">
        <f t="shared" si="10"/>
        <v>-1.1214525480656252E-2</v>
      </c>
      <c r="W53" s="1">
        <f t="shared" si="11"/>
        <v>-4.6460997274961981E-2</v>
      </c>
      <c r="Y53" s="1">
        <f t="shared" si="12"/>
        <v>-1.3861488056982455E-2</v>
      </c>
      <c r="Z53" s="1">
        <f t="shared" si="13"/>
        <v>-4.1765924923205688E-2</v>
      </c>
      <c r="AA53" s="1">
        <f t="shared" si="14"/>
        <v>4.9837266984641606E-3</v>
      </c>
      <c r="AB53" s="1">
        <f t="shared" si="15"/>
        <v>7.6061033134955701E-3</v>
      </c>
      <c r="AC53" s="1">
        <f t="shared" si="16"/>
        <v>6.4145038755697098E-3</v>
      </c>
      <c r="AD53" s="1">
        <f t="shared" si="17"/>
        <v>-1.006435567183594E-2</v>
      </c>
      <c r="AE53" s="1">
        <f t="shared" si="18"/>
        <v>-2.098380776281062E-3</v>
      </c>
      <c r="AF53" s="1">
        <f t="shared" si="19"/>
        <v>-4.3359394650190845E-3</v>
      </c>
      <c r="AG53" s="1">
        <f t="shared" si="20"/>
        <v>-1.2879484612963283E-2</v>
      </c>
      <c r="AH53" s="1">
        <f t="shared" si="21"/>
        <v>-4.8125956407269015E-2</v>
      </c>
      <c r="AW53" s="28"/>
    </row>
    <row r="54" spans="1:49" x14ac:dyDescent="0.3">
      <c r="A54" s="120">
        <v>45364</v>
      </c>
      <c r="B54" s="121" t="s">
        <v>524</v>
      </c>
      <c r="C54" s="121" t="s">
        <v>525</v>
      </c>
      <c r="D54" s="121" t="s">
        <v>526</v>
      </c>
      <c r="E54" s="121" t="s">
        <v>527</v>
      </c>
      <c r="F54" s="121" t="s">
        <v>528</v>
      </c>
      <c r="G54" s="121" t="s">
        <v>529</v>
      </c>
      <c r="H54" s="121" t="s">
        <v>530</v>
      </c>
      <c r="I54" s="121" t="s">
        <v>531</v>
      </c>
      <c r="J54" s="121" t="s">
        <v>532</v>
      </c>
      <c r="K54" s="121" t="s">
        <v>533</v>
      </c>
      <c r="M54" s="122">
        <v>45364</v>
      </c>
      <c r="N54" s="1">
        <f t="shared" si="2"/>
        <v>1.0867971071564071E-2</v>
      </c>
      <c r="O54" s="1">
        <f t="shared" si="3"/>
        <v>-4.0492612766353464E-2</v>
      </c>
      <c r="P54" s="1">
        <f t="shared" si="4"/>
        <v>1.2327433453269837E-2</v>
      </c>
      <c r="Q54" s="1">
        <f t="shared" si="5"/>
        <v>2.3402498767608904E-2</v>
      </c>
      <c r="R54" s="1">
        <f t="shared" si="6"/>
        <v>-1.7978585385402136E-2</v>
      </c>
      <c r="S54" s="1">
        <f t="shared" si="7"/>
        <v>-7.5754333160997457E-3</v>
      </c>
      <c r="T54" s="1">
        <f t="shared" si="8"/>
        <v>2.4087182102866891E-2</v>
      </c>
      <c r="U54" s="1">
        <f t="shared" si="9"/>
        <v>5.824333816037237E-3</v>
      </c>
      <c r="V54" s="1">
        <f t="shared" si="10"/>
        <v>-3.2927798500399862E-2</v>
      </c>
      <c r="W54" s="1">
        <f t="shared" si="11"/>
        <v>-4.2056898779331837E-2</v>
      </c>
      <c r="Y54" s="1">
        <f t="shared" si="12"/>
        <v>9.2030119392570407E-3</v>
      </c>
      <c r="Z54" s="1">
        <f t="shared" si="13"/>
        <v>-4.2157571898660498E-2</v>
      </c>
      <c r="AA54" s="1">
        <f t="shared" si="14"/>
        <v>1.0662474320962807E-2</v>
      </c>
      <c r="AB54" s="1">
        <f t="shared" si="15"/>
        <v>2.1737539635301874E-2</v>
      </c>
      <c r="AC54" s="1">
        <f t="shared" si="16"/>
        <v>-1.9643544517709166E-2</v>
      </c>
      <c r="AD54" s="1">
        <f t="shared" si="17"/>
        <v>-9.240392448406777E-3</v>
      </c>
      <c r="AE54" s="1">
        <f t="shared" si="18"/>
        <v>2.242222297055986E-2</v>
      </c>
      <c r="AF54" s="1">
        <f t="shared" si="19"/>
        <v>4.1593746837302057E-3</v>
      </c>
      <c r="AG54" s="1">
        <f t="shared" si="20"/>
        <v>-3.4592757632706896E-2</v>
      </c>
      <c r="AH54" s="1">
        <f t="shared" si="21"/>
        <v>-4.3721857911638871E-2</v>
      </c>
      <c r="AW54" s="28"/>
    </row>
    <row r="55" spans="1:49" x14ac:dyDescent="0.3">
      <c r="A55" s="120">
        <v>45365</v>
      </c>
      <c r="B55" s="121" t="s">
        <v>534</v>
      </c>
      <c r="C55" s="121" t="s">
        <v>535</v>
      </c>
      <c r="D55" s="1">
        <v>178.75</v>
      </c>
      <c r="E55" s="121" t="s">
        <v>536</v>
      </c>
      <c r="F55" s="1">
        <v>183.76904296875</v>
      </c>
      <c r="G55" s="121" t="s">
        <v>537</v>
      </c>
      <c r="H55" s="121" t="s">
        <v>538</v>
      </c>
      <c r="I55" s="1">
        <v>613.010009765625</v>
      </c>
      <c r="J55" s="121" t="s">
        <v>539</v>
      </c>
      <c r="K55" s="1">
        <v>162.5</v>
      </c>
      <c r="M55" s="122">
        <v>45365</v>
      </c>
      <c r="N55" s="1">
        <f t="shared" si="2"/>
        <v>-2.1988908661728546E-3</v>
      </c>
      <c r="O55" s="1">
        <f t="shared" si="3"/>
        <v>2.1158094108700759E-2</v>
      </c>
      <c r="P55" s="1">
        <f t="shared" si="4"/>
        <v>-2.452200827324227E-2</v>
      </c>
      <c r="Q55" s="1">
        <f t="shared" si="5"/>
        <v>-1.3508078660543699E-2</v>
      </c>
      <c r="R55" s="1">
        <f t="shared" si="6"/>
        <v>1.2319382259095334E-2</v>
      </c>
      <c r="S55" s="1">
        <f t="shared" si="7"/>
        <v>-1.5841697315342282E-2</v>
      </c>
      <c r="T55" s="1">
        <f t="shared" si="8"/>
        <v>-2.0912273602889764E-2</v>
      </c>
      <c r="U55" s="1">
        <f t="shared" si="9"/>
        <v>-1.1699310229602099E-2</v>
      </c>
      <c r="V55" s="1">
        <f t="shared" si="10"/>
        <v>-1.2174157229815695E-3</v>
      </c>
      <c r="W55" s="1">
        <f t="shared" si="11"/>
        <v>6.5630762779107094E-3</v>
      </c>
      <c r="Y55" s="1">
        <f t="shared" si="12"/>
        <v>-3.8638499984798855E-3</v>
      </c>
      <c r="Z55" s="1">
        <f t="shared" si="13"/>
        <v>1.9493134976393729E-2</v>
      </c>
      <c r="AA55" s="1">
        <f t="shared" si="14"/>
        <v>-2.6186967405549301E-2</v>
      </c>
      <c r="AB55" s="1">
        <f t="shared" si="15"/>
        <v>-1.517303779285073E-2</v>
      </c>
      <c r="AC55" s="1">
        <f t="shared" si="16"/>
        <v>1.0654423126788303E-2</v>
      </c>
      <c r="AD55" s="1">
        <f t="shared" si="17"/>
        <v>-1.7506656447649312E-2</v>
      </c>
      <c r="AE55" s="1">
        <f t="shared" si="18"/>
        <v>-2.2577232735196795E-2</v>
      </c>
      <c r="AF55" s="1">
        <f t="shared" si="19"/>
        <v>-1.3364269361909129E-2</v>
      </c>
      <c r="AG55" s="1">
        <f t="shared" si="20"/>
        <v>-2.8823748552886004E-3</v>
      </c>
      <c r="AH55" s="1">
        <f t="shared" si="21"/>
        <v>4.898117145603678E-3</v>
      </c>
      <c r="AW55" s="28"/>
    </row>
    <row r="56" spans="1:49" x14ac:dyDescent="0.3">
      <c r="A56" s="120">
        <v>45366</v>
      </c>
      <c r="B56" s="121" t="s">
        <v>540</v>
      </c>
      <c r="C56" s="121" t="s">
        <v>541</v>
      </c>
      <c r="D56" s="121" t="s">
        <v>542</v>
      </c>
      <c r="E56" s="121" t="s">
        <v>543</v>
      </c>
      <c r="F56" s="121" t="s">
        <v>544</v>
      </c>
      <c r="G56" s="121" t="s">
        <v>545</v>
      </c>
      <c r="H56" s="1">
        <v>413.264892578125</v>
      </c>
      <c r="I56" s="121" t="s">
        <v>546</v>
      </c>
      <c r="J56" s="121" t="s">
        <v>547</v>
      </c>
      <c r="K56" s="121" t="s">
        <v>548</v>
      </c>
      <c r="M56" s="122">
        <v>45366</v>
      </c>
      <c r="N56" s="1">
        <f t="shared" si="2"/>
        <v>6.3521781652557266E-3</v>
      </c>
      <c r="O56" s="1">
        <f t="shared" si="3"/>
        <v>-2.148247774314496E-3</v>
      </c>
      <c r="P56" s="1">
        <f t="shared" si="4"/>
        <v>3.4392410567488742E-4</v>
      </c>
      <c r="Q56" s="1">
        <f t="shared" si="5"/>
        <v>4.5011985601492395E-2</v>
      </c>
      <c r="R56" s="1">
        <f t="shared" si="6"/>
        <v>1.2325256691391789E-2</v>
      </c>
      <c r="S56" s="1">
        <f t="shared" si="7"/>
        <v>2.625830296910037E-2</v>
      </c>
      <c r="T56" s="1">
        <f t="shared" si="8"/>
        <v>2.1588918057427043E-3</v>
      </c>
      <c r="U56" s="1">
        <f t="shared" si="9"/>
        <v>2.0437395349361336E-2</v>
      </c>
      <c r="V56" s="1">
        <f t="shared" si="10"/>
        <v>7.0112201588885918E-3</v>
      </c>
      <c r="W56" s="1">
        <f t="shared" si="11"/>
        <v>6.0664152342604506E-2</v>
      </c>
      <c r="Y56" s="1">
        <f t="shared" si="12"/>
        <v>4.6872190329486953E-3</v>
      </c>
      <c r="Z56" s="1">
        <f t="shared" si="13"/>
        <v>-3.8132069066215274E-3</v>
      </c>
      <c r="AA56" s="1">
        <f t="shared" si="14"/>
        <v>-1.3210350266321437E-3</v>
      </c>
      <c r="AB56" s="1">
        <f t="shared" si="15"/>
        <v>4.3347026469185361E-2</v>
      </c>
      <c r="AC56" s="1">
        <f t="shared" si="16"/>
        <v>1.0660297559084759E-2</v>
      </c>
      <c r="AD56" s="1">
        <f t="shared" si="17"/>
        <v>2.459334383679334E-2</v>
      </c>
      <c r="AE56" s="1">
        <f t="shared" si="18"/>
        <v>4.9393267343567321E-4</v>
      </c>
      <c r="AF56" s="1">
        <f t="shared" si="19"/>
        <v>1.8772436217054305E-2</v>
      </c>
      <c r="AG56" s="1">
        <f t="shared" si="20"/>
        <v>5.3462610265815605E-3</v>
      </c>
      <c r="AH56" s="1">
        <f t="shared" si="21"/>
        <v>5.8999193210297472E-2</v>
      </c>
      <c r="AW56" s="28"/>
    </row>
    <row r="57" spans="1:49" x14ac:dyDescent="0.3">
      <c r="A57" s="120">
        <v>45369</v>
      </c>
      <c r="B57" s="121" t="s">
        <v>549</v>
      </c>
      <c r="C57" s="121" t="s">
        <v>550</v>
      </c>
      <c r="D57" s="121" t="s">
        <v>551</v>
      </c>
      <c r="E57" s="1">
        <v>146.977294921875</v>
      </c>
      <c r="F57" s="121" t="s">
        <v>552</v>
      </c>
      <c r="G57" s="121" t="s">
        <v>553</v>
      </c>
      <c r="H57" s="121" t="s">
        <v>554</v>
      </c>
      <c r="I57" s="121" t="s">
        <v>555</v>
      </c>
      <c r="J57" s="121" t="s">
        <v>556</v>
      </c>
      <c r="K57" s="121" t="s">
        <v>557</v>
      </c>
      <c r="M57" s="122">
        <v>45369</v>
      </c>
      <c r="N57" s="1">
        <f t="shared" si="2"/>
        <v>1.3493708660076717E-2</v>
      </c>
      <c r="O57" s="1">
        <f t="shared" si="3"/>
        <v>-4.9624479195434217E-2</v>
      </c>
      <c r="P57" s="1">
        <f t="shared" si="4"/>
        <v>8.1055196381789024E-3</v>
      </c>
      <c r="Q57" s="1">
        <f t="shared" si="5"/>
        <v>-4.4111540072596135E-3</v>
      </c>
      <c r="R57" s="1">
        <f t="shared" si="6"/>
        <v>5.8480723862954715E-3</v>
      </c>
      <c r="S57" s="1">
        <f t="shared" si="7"/>
        <v>-1.4901537203526908E-3</v>
      </c>
      <c r="T57" s="1">
        <f t="shared" si="8"/>
        <v>9.7529420639403362E-3</v>
      </c>
      <c r="U57" s="1">
        <f t="shared" si="9"/>
        <v>3.7929489141520106E-3</v>
      </c>
      <c r="V57" s="1">
        <f t="shared" si="10"/>
        <v>1.060433663854414E-2</v>
      </c>
      <c r="W57" s="1">
        <f t="shared" si="11"/>
        <v>-1.4372034891457107E-2</v>
      </c>
      <c r="Y57" s="1">
        <f t="shared" si="12"/>
        <v>1.1828749527769687E-2</v>
      </c>
      <c r="Z57" s="1">
        <f t="shared" si="13"/>
        <v>-5.1289438327741251E-2</v>
      </c>
      <c r="AA57" s="1">
        <f t="shared" si="14"/>
        <v>6.440560505871871E-3</v>
      </c>
      <c r="AB57" s="1">
        <f t="shared" si="15"/>
        <v>-6.0761131395666449E-3</v>
      </c>
      <c r="AC57" s="1">
        <f t="shared" si="16"/>
        <v>4.1831132539884401E-3</v>
      </c>
      <c r="AD57" s="1">
        <f t="shared" si="17"/>
        <v>-3.1551128526597222E-3</v>
      </c>
      <c r="AE57" s="1">
        <f t="shared" si="18"/>
        <v>8.0879829316333057E-3</v>
      </c>
      <c r="AF57" s="1">
        <f t="shared" si="19"/>
        <v>2.1279897818449797E-3</v>
      </c>
      <c r="AG57" s="1">
        <f t="shared" si="20"/>
        <v>8.9393775062371096E-3</v>
      </c>
      <c r="AH57" s="1">
        <f t="shared" si="21"/>
        <v>-1.6036994023764139E-2</v>
      </c>
      <c r="AW57" s="28"/>
    </row>
    <row r="58" spans="1:49" x14ac:dyDescent="0.3">
      <c r="A58" s="120">
        <v>45370</v>
      </c>
      <c r="B58" s="121" t="s">
        <v>558</v>
      </c>
      <c r="C58" s="121" t="s">
        <v>559</v>
      </c>
      <c r="D58" s="121" t="s">
        <v>560</v>
      </c>
      <c r="E58" s="121" t="s">
        <v>561</v>
      </c>
      <c r="F58" s="121" t="s">
        <v>562</v>
      </c>
      <c r="G58" s="121" t="s">
        <v>563</v>
      </c>
      <c r="H58" s="121" t="s">
        <v>564</v>
      </c>
      <c r="I58" s="1">
        <v>620.739990234375</v>
      </c>
      <c r="J58" s="121" t="s">
        <v>565</v>
      </c>
      <c r="K58" s="121" t="s">
        <v>566</v>
      </c>
      <c r="M58" s="122">
        <v>45370</v>
      </c>
      <c r="N58" s="1">
        <f t="shared" si="2"/>
        <v>1.4602044886753563E-2</v>
      </c>
      <c r="O58" s="1">
        <f t="shared" si="3"/>
        <v>-9.3590741015009069E-3</v>
      </c>
      <c r="P58" s="1">
        <f t="shared" si="4"/>
        <v>1.2710240746571589E-2</v>
      </c>
      <c r="Q58" s="1">
        <f t="shared" si="5"/>
        <v>1.156323873143152E-2</v>
      </c>
      <c r="R58" s="1">
        <f t="shared" si="6"/>
        <v>1.302172475178837E-2</v>
      </c>
      <c r="S58" s="1">
        <f t="shared" si="7"/>
        <v>1.8527939089132112E-2</v>
      </c>
      <c r="T58" s="1">
        <f t="shared" si="8"/>
        <v>9.023942431445036E-3</v>
      </c>
      <c r="U58" s="1">
        <f t="shared" si="9"/>
        <v>1.1134118927399144E-2</v>
      </c>
      <c r="V58" s="1">
        <f t="shared" si="10"/>
        <v>1.0836157747026856E-2</v>
      </c>
      <c r="W58" s="1">
        <f t="shared" si="11"/>
        <v>2.5017133837832141E-2</v>
      </c>
      <c r="Y58" s="1">
        <f t="shared" si="12"/>
        <v>1.2937085754446532E-2</v>
      </c>
      <c r="Z58" s="1">
        <f t="shared" si="13"/>
        <v>-1.1024033233807937E-2</v>
      </c>
      <c r="AA58" s="1">
        <f t="shared" si="14"/>
        <v>1.1045281614264558E-2</v>
      </c>
      <c r="AB58" s="1">
        <f t="shared" si="15"/>
        <v>9.898279599124489E-3</v>
      </c>
      <c r="AC58" s="1">
        <f t="shared" si="16"/>
        <v>1.1356765619481339E-2</v>
      </c>
      <c r="AD58" s="1">
        <f t="shared" si="17"/>
        <v>1.6862979956825081E-2</v>
      </c>
      <c r="AE58" s="1">
        <f t="shared" si="18"/>
        <v>7.3589832991380047E-3</v>
      </c>
      <c r="AF58" s="1">
        <f t="shared" si="19"/>
        <v>9.4691597950921132E-3</v>
      </c>
      <c r="AG58" s="1">
        <f t="shared" si="20"/>
        <v>9.1711986147198256E-3</v>
      </c>
      <c r="AH58" s="1">
        <f t="shared" si="21"/>
        <v>2.335217470552511E-2</v>
      </c>
      <c r="AW58" s="28"/>
    </row>
    <row r="59" spans="1:49" x14ac:dyDescent="0.3">
      <c r="A59" s="120">
        <v>45371</v>
      </c>
      <c r="B59" s="1">
        <v>177.830322265625</v>
      </c>
      <c r="C59" s="121" t="s">
        <v>567</v>
      </c>
      <c r="D59" s="121" t="s">
        <v>568</v>
      </c>
      <c r="E59" s="121" t="s">
        <v>569</v>
      </c>
      <c r="F59" s="121" t="s">
        <v>570</v>
      </c>
      <c r="G59" s="121" t="s">
        <v>571</v>
      </c>
      <c r="H59" s="121" t="s">
        <v>572</v>
      </c>
      <c r="I59" s="121" t="s">
        <v>573</v>
      </c>
      <c r="J59" s="121" t="s">
        <v>574</v>
      </c>
      <c r="K59" s="121" t="s">
        <v>575</v>
      </c>
      <c r="M59" s="122">
        <v>45371</v>
      </c>
      <c r="N59" s="1">
        <f t="shared" si="2"/>
        <v>-4.1715616416239359E-2</v>
      </c>
      <c r="O59" s="1">
        <f t="shared" si="3"/>
        <v>-5.8592454991782403E-3</v>
      </c>
      <c r="P59" s="1">
        <f t="shared" si="4"/>
        <v>0</v>
      </c>
      <c r="Q59" s="1">
        <f t="shared" si="5"/>
        <v>-7.6938464161861878E-3</v>
      </c>
      <c r="R59" s="1">
        <f t="shared" si="6"/>
        <v>1.3809392335371788E-2</v>
      </c>
      <c r="S59" s="1">
        <f t="shared" si="7"/>
        <v>4.4213215721662438E-3</v>
      </c>
      <c r="T59" s="1">
        <f t="shared" si="8"/>
        <v>9.6887721505641948E-3</v>
      </c>
      <c r="U59" s="1">
        <f t="shared" si="9"/>
        <v>-7.9654617763044097E-3</v>
      </c>
      <c r="V59" s="1">
        <f t="shared" si="10"/>
        <v>1.1693788092121966E-2</v>
      </c>
      <c r="W59" s="1">
        <f t="shared" si="11"/>
        <v>-1.6299696542814632E-2</v>
      </c>
      <c r="Y59" s="1">
        <f t="shared" si="12"/>
        <v>-4.3380575548546393E-2</v>
      </c>
      <c r="Z59" s="1">
        <f t="shared" si="13"/>
        <v>-7.5242046314852717E-3</v>
      </c>
      <c r="AA59" s="1">
        <f t="shared" si="14"/>
        <v>-1.6649591323070311E-3</v>
      </c>
      <c r="AB59" s="1">
        <f t="shared" si="15"/>
        <v>-9.3588055484932191E-3</v>
      </c>
      <c r="AC59" s="1">
        <f t="shared" si="16"/>
        <v>1.2144433203064757E-2</v>
      </c>
      <c r="AD59" s="1">
        <f t="shared" si="17"/>
        <v>2.7563624398592125E-3</v>
      </c>
      <c r="AE59" s="1">
        <f t="shared" si="18"/>
        <v>8.0238130182571643E-3</v>
      </c>
      <c r="AF59" s="1">
        <f t="shared" si="19"/>
        <v>-9.6304209086114402E-3</v>
      </c>
      <c r="AG59" s="1">
        <f t="shared" si="20"/>
        <v>1.0028828959814936E-2</v>
      </c>
      <c r="AH59" s="1">
        <f t="shared" si="21"/>
        <v>-1.7964655675121663E-2</v>
      </c>
      <c r="AW59" s="28"/>
    </row>
    <row r="60" spans="1:49" x14ac:dyDescent="0.3">
      <c r="A60" s="120">
        <v>45372</v>
      </c>
      <c r="B60" s="121" t="s">
        <v>576</v>
      </c>
      <c r="C60" s="121" t="s">
        <v>577</v>
      </c>
      <c r="D60" s="121" t="s">
        <v>568</v>
      </c>
      <c r="E60" s="121" t="s">
        <v>578</v>
      </c>
      <c r="F60" s="121" t="s">
        <v>579</v>
      </c>
      <c r="G60" s="121" t="s">
        <v>580</v>
      </c>
      <c r="H60" s="121" t="s">
        <v>581</v>
      </c>
      <c r="I60" s="121" t="s">
        <v>582</v>
      </c>
      <c r="J60" s="121" t="s">
        <v>583</v>
      </c>
      <c r="K60" s="121" t="s">
        <v>584</v>
      </c>
      <c r="M60" s="122">
        <v>45372</v>
      </c>
      <c r="N60" s="1">
        <f t="shared" si="2"/>
        <v>5.2960554965262316E-3</v>
      </c>
      <c r="O60" s="1">
        <f t="shared" si="3"/>
        <v>5.4140240918305153E-3</v>
      </c>
      <c r="P60" s="1">
        <f t="shared" si="4"/>
        <v>4.0333999157437074E-3</v>
      </c>
      <c r="Q60" s="1">
        <f t="shared" si="5"/>
        <v>2.1249624452882639E-2</v>
      </c>
      <c r="R60" s="1">
        <f t="shared" si="6"/>
        <v>-1.2333272835802746E-2</v>
      </c>
      <c r="S60" s="1">
        <f t="shared" si="7"/>
        <v>3.5779027820769869E-3</v>
      </c>
      <c r="T60" s="1">
        <f t="shared" si="8"/>
        <v>-1.4683130146310877E-3</v>
      </c>
      <c r="U60" s="1">
        <f t="shared" si="9"/>
        <v>8.4751493259352679E-3</v>
      </c>
      <c r="V60" s="1">
        <f t="shared" si="10"/>
        <v>3.0736229642647109E-2</v>
      </c>
      <c r="W60" s="1">
        <f t="shared" si="11"/>
        <v>-1.1581712116327783E-2</v>
      </c>
      <c r="Y60" s="1">
        <f t="shared" si="12"/>
        <v>3.6310963642192003E-3</v>
      </c>
      <c r="Z60" s="1">
        <f t="shared" si="13"/>
        <v>3.749064959523484E-3</v>
      </c>
      <c r="AA60" s="1">
        <f t="shared" si="14"/>
        <v>2.3684407834366761E-3</v>
      </c>
      <c r="AB60" s="1">
        <f t="shared" si="15"/>
        <v>1.9584665320575609E-2</v>
      </c>
      <c r="AC60" s="1">
        <f t="shared" si="16"/>
        <v>-1.3998231968109776E-2</v>
      </c>
      <c r="AD60" s="1">
        <f t="shared" si="17"/>
        <v>1.9129436497699558E-3</v>
      </c>
      <c r="AE60" s="1">
        <f t="shared" si="18"/>
        <v>-3.1332721469381191E-3</v>
      </c>
      <c r="AF60" s="1">
        <f t="shared" si="19"/>
        <v>6.8101901936282365E-3</v>
      </c>
      <c r="AG60" s="1">
        <f t="shared" si="20"/>
        <v>2.9071270510340079E-2</v>
      </c>
      <c r="AH60" s="1">
        <f t="shared" si="21"/>
        <v>-1.3246671248634814E-2</v>
      </c>
      <c r="AW60" s="28"/>
    </row>
    <row r="61" spans="1:49" x14ac:dyDescent="0.3">
      <c r="A61" s="120">
        <v>45373</v>
      </c>
      <c r="B61" s="121" t="s">
        <v>585</v>
      </c>
      <c r="C61" s="121" t="s">
        <v>586</v>
      </c>
      <c r="D61" s="121" t="s">
        <v>587</v>
      </c>
      <c r="E61" s="121" t="s">
        <v>588</v>
      </c>
      <c r="F61" s="121" t="s">
        <v>589</v>
      </c>
      <c r="G61" s="121" t="s">
        <v>590</v>
      </c>
      <c r="H61" s="121" t="s">
        <v>591</v>
      </c>
      <c r="I61" s="1">
        <v>628.010009765625</v>
      </c>
      <c r="J61" s="121" t="s">
        <v>592</v>
      </c>
      <c r="K61" s="121" t="s">
        <v>593</v>
      </c>
      <c r="M61" s="122">
        <v>45373</v>
      </c>
      <c r="N61" s="1">
        <f t="shared" si="2"/>
        <v>-8.334898450658915E-3</v>
      </c>
      <c r="O61" s="1">
        <f t="shared" si="3"/>
        <v>-5.6938247894693442E-3</v>
      </c>
      <c r="P61" s="1">
        <f t="shared" si="4"/>
        <v>4.6852201963376375E-3</v>
      </c>
      <c r="Q61" s="1">
        <f t="shared" si="5"/>
        <v>-4.6536532108127733E-3</v>
      </c>
      <c r="R61" s="1">
        <f t="shared" si="6"/>
        <v>-9.1968449614998719E-3</v>
      </c>
      <c r="S61" s="1">
        <f t="shared" si="7"/>
        <v>-1.2956882039068463E-2</v>
      </c>
      <c r="T61" s="1">
        <f t="shared" si="8"/>
        <v>-1.3809521726622948E-2</v>
      </c>
      <c r="U61" s="1">
        <f t="shared" si="9"/>
        <v>-8.7614648577450814E-4</v>
      </c>
      <c r="V61" s="1">
        <f t="shared" si="10"/>
        <v>7.5333590503309554E-3</v>
      </c>
      <c r="W61" s="1">
        <f t="shared" si="11"/>
        <v>1.0481683435757174E-2</v>
      </c>
      <c r="Y61" s="1">
        <f t="shared" si="12"/>
        <v>-9.9998575829659455E-3</v>
      </c>
      <c r="Z61" s="1">
        <f t="shared" si="13"/>
        <v>-7.3587839217763755E-3</v>
      </c>
      <c r="AA61" s="1">
        <f t="shared" si="14"/>
        <v>3.0202610640306061E-3</v>
      </c>
      <c r="AB61" s="1">
        <f t="shared" si="15"/>
        <v>-6.3186123431198046E-3</v>
      </c>
      <c r="AC61" s="1">
        <f t="shared" si="16"/>
        <v>-1.0861804093806902E-2</v>
      </c>
      <c r="AD61" s="1">
        <f t="shared" si="17"/>
        <v>-1.4621841171375494E-2</v>
      </c>
      <c r="AE61" s="1">
        <f t="shared" si="18"/>
        <v>-1.5474480858929978E-2</v>
      </c>
      <c r="AF61" s="1">
        <f t="shared" si="19"/>
        <v>-2.5411056180815392E-3</v>
      </c>
      <c r="AG61" s="1">
        <f t="shared" si="20"/>
        <v>5.8683999180239241E-3</v>
      </c>
      <c r="AH61" s="1">
        <f t="shared" si="21"/>
        <v>8.8167243034501432E-3</v>
      </c>
      <c r="AW61" s="28"/>
    </row>
    <row r="62" spans="1:49" x14ac:dyDescent="0.3">
      <c r="A62" s="120">
        <v>45376</v>
      </c>
      <c r="B62" s="121" t="s">
        <v>594</v>
      </c>
      <c r="C62" s="121" t="s">
        <v>595</v>
      </c>
      <c r="D62" s="121" t="s">
        <v>596</v>
      </c>
      <c r="E62" s="121" t="s">
        <v>597</v>
      </c>
      <c r="F62" s="121" t="s">
        <v>598</v>
      </c>
      <c r="G62" s="121" t="s">
        <v>599</v>
      </c>
      <c r="H62" s="121" t="s">
        <v>600</v>
      </c>
      <c r="I62" s="121" t="s">
        <v>601</v>
      </c>
      <c r="J62" s="121" t="s">
        <v>602</v>
      </c>
      <c r="K62" s="121" t="s">
        <v>603</v>
      </c>
      <c r="M62" s="122">
        <v>45376</v>
      </c>
      <c r="N62" s="1">
        <f t="shared" si="2"/>
        <v>-6.6950671098818708E-3</v>
      </c>
      <c r="O62" s="1">
        <f t="shared" si="3"/>
        <v>-4.2637358597711417E-3</v>
      </c>
      <c r="P62" s="1">
        <f t="shared" si="4"/>
        <v>-7.8769359184315216E-3</v>
      </c>
      <c r="Q62" s="1">
        <f t="shared" si="5"/>
        <v>3.9901119013136819E-3</v>
      </c>
      <c r="R62" s="1">
        <f t="shared" si="6"/>
        <v>4.6600304015760865E-3</v>
      </c>
      <c r="S62" s="1">
        <f t="shared" si="7"/>
        <v>-1.4275765444931811E-2</v>
      </c>
      <c r="T62" s="1">
        <f t="shared" si="8"/>
        <v>-2.8655788480488418E-3</v>
      </c>
      <c r="U62" s="1">
        <f t="shared" si="9"/>
        <v>2.8327674619546606E-3</v>
      </c>
      <c r="V62" s="1">
        <f t="shared" si="10"/>
        <v>-2.6030005159565314E-2</v>
      </c>
      <c r="W62" s="1">
        <f t="shared" si="11"/>
        <v>2.8777282628584779E-2</v>
      </c>
      <c r="Y62" s="1">
        <f t="shared" si="12"/>
        <v>-8.3600262421889022E-3</v>
      </c>
      <c r="Z62" s="1">
        <f t="shared" si="13"/>
        <v>-5.9286949920781731E-3</v>
      </c>
      <c r="AA62" s="1">
        <f t="shared" si="14"/>
        <v>-9.5418950507385521E-3</v>
      </c>
      <c r="AB62" s="1">
        <f t="shared" si="15"/>
        <v>2.3251527690066505E-3</v>
      </c>
      <c r="AC62" s="1">
        <f t="shared" si="16"/>
        <v>2.9950712692690552E-3</v>
      </c>
      <c r="AD62" s="1">
        <f t="shared" si="17"/>
        <v>-1.5940724577238843E-2</v>
      </c>
      <c r="AE62" s="1">
        <f t="shared" si="18"/>
        <v>-4.5305379803558731E-3</v>
      </c>
      <c r="AF62" s="1">
        <f t="shared" si="19"/>
        <v>1.1678083296476295E-3</v>
      </c>
      <c r="AG62" s="1">
        <f t="shared" si="20"/>
        <v>-2.7694964291872345E-2</v>
      </c>
      <c r="AH62" s="1">
        <f t="shared" si="21"/>
        <v>2.7112323496277749E-2</v>
      </c>
      <c r="AW62" s="28"/>
    </row>
    <row r="63" spans="1:49" x14ac:dyDescent="0.3">
      <c r="A63" s="120">
        <v>45377</v>
      </c>
      <c r="B63" s="121" t="s">
        <v>604</v>
      </c>
      <c r="C63" s="121" t="s">
        <v>605</v>
      </c>
      <c r="D63" s="121" t="s">
        <v>606</v>
      </c>
      <c r="E63" s="121" t="s">
        <v>607</v>
      </c>
      <c r="F63" s="121" t="s">
        <v>608</v>
      </c>
      <c r="G63" s="121" t="s">
        <v>609</v>
      </c>
      <c r="H63" s="121" t="s">
        <v>610</v>
      </c>
      <c r="I63" s="1">
        <v>629.239990234375</v>
      </c>
      <c r="J63" s="121" t="s">
        <v>611</v>
      </c>
      <c r="K63" s="121" t="s">
        <v>612</v>
      </c>
      <c r="M63" s="122">
        <v>45377</v>
      </c>
      <c r="N63" s="1">
        <f t="shared" si="2"/>
        <v>2.0990817904745218E-2</v>
      </c>
      <c r="O63" s="1">
        <f t="shared" si="3"/>
        <v>9.6235357033389486E-3</v>
      </c>
      <c r="P63" s="1">
        <f t="shared" si="4"/>
        <v>8.5444283742943366E-3</v>
      </c>
      <c r="Q63" s="1">
        <f t="shared" si="5"/>
        <v>1.3264393794780829E-3</v>
      </c>
      <c r="R63" s="1">
        <f t="shared" si="6"/>
        <v>1.9178297403319434E-2</v>
      </c>
      <c r="S63" s="1">
        <f t="shared" si="7"/>
        <v>-4.1020979504612261E-3</v>
      </c>
      <c r="T63" s="1">
        <f t="shared" si="8"/>
        <v>-5.2194415200767011E-4</v>
      </c>
      <c r="U63" s="1">
        <f t="shared" si="9"/>
        <v>-2.5283515972345096E-2</v>
      </c>
      <c r="V63" s="1">
        <f t="shared" si="10"/>
        <v>-2.5284383498935945E-2</v>
      </c>
      <c r="W63" s="1">
        <f t="shared" si="11"/>
        <v>1.2084083617361928E-2</v>
      </c>
      <c r="Y63" s="1">
        <f t="shared" si="12"/>
        <v>1.9325858772438188E-2</v>
      </c>
      <c r="Z63" s="1">
        <f t="shared" si="13"/>
        <v>7.9585765710319181E-3</v>
      </c>
      <c r="AA63" s="1">
        <f t="shared" si="14"/>
        <v>6.8794692419873052E-3</v>
      </c>
      <c r="AB63" s="1">
        <f t="shared" si="15"/>
        <v>-3.3851975282894829E-4</v>
      </c>
      <c r="AC63" s="1">
        <f t="shared" si="16"/>
        <v>1.7513338271012403E-2</v>
      </c>
      <c r="AD63" s="1">
        <f t="shared" si="17"/>
        <v>-5.7670570827682574E-3</v>
      </c>
      <c r="AE63" s="1">
        <f t="shared" si="18"/>
        <v>-2.1869032843147011E-3</v>
      </c>
      <c r="AF63" s="1">
        <f t="shared" si="19"/>
        <v>-2.6948475104652127E-2</v>
      </c>
      <c r="AG63" s="1">
        <f t="shared" si="20"/>
        <v>-2.6949342631242976E-2</v>
      </c>
      <c r="AH63" s="1">
        <f t="shared" si="21"/>
        <v>1.0419124485054897E-2</v>
      </c>
      <c r="AW63" s="28"/>
    </row>
    <row r="64" spans="1:49" x14ac:dyDescent="0.3">
      <c r="A64" s="120">
        <v>45378</v>
      </c>
      <c r="B64" s="121" t="s">
        <v>613</v>
      </c>
      <c r="C64" s="121" t="s">
        <v>614</v>
      </c>
      <c r="D64" s="121" t="s">
        <v>615</v>
      </c>
      <c r="E64" s="121" t="s">
        <v>616</v>
      </c>
      <c r="F64" s="121" t="s">
        <v>617</v>
      </c>
      <c r="G64" s="121" t="s">
        <v>618</v>
      </c>
      <c r="H64" s="121" t="s">
        <v>619</v>
      </c>
      <c r="I64" s="1">
        <v>613.530029296875</v>
      </c>
      <c r="J64" s="121" t="s">
        <v>620</v>
      </c>
      <c r="K64" s="121" t="s">
        <v>615</v>
      </c>
      <c r="M64" s="122">
        <v>45378</v>
      </c>
      <c r="N64" s="1">
        <f t="shared" si="2"/>
        <v>-1.061523497268194E-2</v>
      </c>
      <c r="O64" s="1">
        <f t="shared" si="3"/>
        <v>4.9989503717423169E-3</v>
      </c>
      <c r="P64" s="1">
        <f t="shared" si="4"/>
        <v>3.0537934479038724E-3</v>
      </c>
      <c r="Q64" s="1">
        <f t="shared" si="5"/>
        <v>3.9767023075021882E-4</v>
      </c>
      <c r="R64" s="1">
        <f t="shared" si="6"/>
        <v>3.9018671473991218E-3</v>
      </c>
      <c r="S64" s="1">
        <f t="shared" si="7"/>
        <v>-1.6908097336224507E-2</v>
      </c>
      <c r="T64" s="1">
        <f t="shared" si="8"/>
        <v>-1.6860875948678312E-3</v>
      </c>
      <c r="U64" s="1">
        <f t="shared" si="9"/>
        <v>-1.0156881660413834E-2</v>
      </c>
      <c r="V64" s="1">
        <f t="shared" si="10"/>
        <v>1.1739048664816216E-3</v>
      </c>
      <c r="W64" s="1">
        <f t="shared" si="11"/>
        <v>-2.2721907739993219E-2</v>
      </c>
      <c r="Y64" s="1">
        <f t="shared" si="12"/>
        <v>-1.228019410498897E-2</v>
      </c>
      <c r="Z64" s="1">
        <f t="shared" si="13"/>
        <v>3.3339912394352855E-3</v>
      </c>
      <c r="AA64" s="1">
        <f t="shared" si="14"/>
        <v>1.3888343155968412E-3</v>
      </c>
      <c r="AB64" s="1">
        <f t="shared" si="15"/>
        <v>-1.2672889015568124E-3</v>
      </c>
      <c r="AC64" s="1">
        <f t="shared" si="16"/>
        <v>2.2369080150920909E-3</v>
      </c>
      <c r="AD64" s="1">
        <f t="shared" si="17"/>
        <v>-1.8573056468531537E-2</v>
      </c>
      <c r="AE64" s="1">
        <f t="shared" si="18"/>
        <v>-3.3510467271748623E-3</v>
      </c>
      <c r="AF64" s="1">
        <f t="shared" si="19"/>
        <v>-1.1821840792720865E-2</v>
      </c>
      <c r="AG64" s="1">
        <f t="shared" si="20"/>
        <v>-4.9105426582540953E-4</v>
      </c>
      <c r="AH64" s="1">
        <f t="shared" si="21"/>
        <v>-2.4386866872300249E-2</v>
      </c>
      <c r="AW64" s="28"/>
    </row>
    <row r="65" spans="1:49" x14ac:dyDescent="0.3">
      <c r="A65" s="120">
        <v>45379</v>
      </c>
      <c r="B65" s="121" t="s">
        <v>621</v>
      </c>
      <c r="C65" s="121" t="s">
        <v>622</v>
      </c>
      <c r="D65" s="121" t="s">
        <v>623</v>
      </c>
      <c r="E65" s="121" t="s">
        <v>624</v>
      </c>
      <c r="F65" s="1">
        <v>195.823486328125</v>
      </c>
      <c r="G65" s="1">
        <v>483.81494140625</v>
      </c>
      <c r="H65" s="121" t="s">
        <v>625</v>
      </c>
      <c r="I65" s="121" t="s">
        <v>626</v>
      </c>
      <c r="J65" s="1">
        <v>90.326316833496094</v>
      </c>
      <c r="K65" s="121" t="s">
        <v>627</v>
      </c>
      <c r="M65" s="122">
        <v>45379</v>
      </c>
      <c r="N65" s="1">
        <f t="shared" si="2"/>
        <v>-8.4917852996280411E-3</v>
      </c>
      <c r="O65" s="1">
        <f t="shared" si="3"/>
        <v>1.5666927548326028E-2</v>
      </c>
      <c r="P65" s="1">
        <f t="shared" si="4"/>
        <v>3.2655146102950629E-3</v>
      </c>
      <c r="Q65" s="1">
        <f t="shared" si="5"/>
        <v>2.9765446598368731E-2</v>
      </c>
      <c r="R65" s="1">
        <f t="shared" si="6"/>
        <v>-6.8130483907994626E-3</v>
      </c>
      <c r="S65" s="1">
        <f t="shared" si="7"/>
        <v>1.1812708472959482E-2</v>
      </c>
      <c r="T65" s="1">
        <f t="shared" si="8"/>
        <v>9.1093674784289407E-3</v>
      </c>
      <c r="U65" s="1">
        <f t="shared" si="9"/>
        <v>1.1427353952521207E-2</v>
      </c>
      <c r="V65" s="1">
        <f t="shared" si="10"/>
        <v>7.7451224664909927E-5</v>
      </c>
      <c r="W65" s="1">
        <f t="shared" si="11"/>
        <v>-3.2477284143455228E-3</v>
      </c>
      <c r="Y65" s="1">
        <f t="shared" si="12"/>
        <v>-1.0156744431935072E-2</v>
      </c>
      <c r="Z65" s="1">
        <f t="shared" si="13"/>
        <v>1.4001968416018997E-2</v>
      </c>
      <c r="AA65" s="1">
        <f t="shared" si="14"/>
        <v>1.6005554779880318E-3</v>
      </c>
      <c r="AB65" s="1">
        <f t="shared" si="15"/>
        <v>2.81004874660617E-2</v>
      </c>
      <c r="AC65" s="1">
        <f t="shared" si="16"/>
        <v>-8.4780075231064931E-3</v>
      </c>
      <c r="AD65" s="1">
        <f t="shared" si="17"/>
        <v>1.0147749340652452E-2</v>
      </c>
      <c r="AE65" s="1">
        <f t="shared" si="18"/>
        <v>7.4444083461219094E-3</v>
      </c>
      <c r="AF65" s="1">
        <f t="shared" si="19"/>
        <v>9.7623948202141767E-3</v>
      </c>
      <c r="AG65" s="1">
        <f t="shared" si="20"/>
        <v>-1.5875079076421211E-3</v>
      </c>
      <c r="AH65" s="1">
        <f t="shared" si="21"/>
        <v>-4.9126875466525537E-3</v>
      </c>
      <c r="AW65" s="28"/>
    </row>
    <row r="66" spans="1:49" x14ac:dyDescent="0.3">
      <c r="A66" s="120">
        <v>45383</v>
      </c>
      <c r="B66" s="121" t="s">
        <v>628</v>
      </c>
      <c r="C66" s="121" t="s">
        <v>629</v>
      </c>
      <c r="D66" s="121" t="s">
        <v>630</v>
      </c>
      <c r="E66" s="121" t="s">
        <v>631</v>
      </c>
      <c r="F66" s="121" t="s">
        <v>632</v>
      </c>
      <c r="G66" s="121" t="s">
        <v>633</v>
      </c>
      <c r="H66" s="121" t="s">
        <v>634</v>
      </c>
      <c r="I66" s="121" t="s">
        <v>635</v>
      </c>
      <c r="J66" s="121" t="s">
        <v>636</v>
      </c>
      <c r="K66" s="121" t="s">
        <v>637</v>
      </c>
      <c r="M66" s="122">
        <v>45383</v>
      </c>
      <c r="N66" s="1">
        <f t="shared" si="2"/>
        <v>-7.0233419970987705E-3</v>
      </c>
      <c r="O66" s="1">
        <f t="shared" si="3"/>
        <v>-2.5633927471377008E-2</v>
      </c>
      <c r="P66" s="1">
        <f t="shared" si="4"/>
        <v>-1.5484091821317157E-3</v>
      </c>
      <c r="Q66" s="1">
        <f t="shared" si="5"/>
        <v>-5.999200893350454E-3</v>
      </c>
      <c r="R66" s="1">
        <f t="shared" si="6"/>
        <v>-4.0215674257366936E-4</v>
      </c>
      <c r="S66" s="1">
        <f t="shared" si="7"/>
        <v>1.2177552444194733E-2</v>
      </c>
      <c r="T66" s="1">
        <f t="shared" si="8"/>
        <v>-7.3994198904966451E-3</v>
      </c>
      <c r="U66" s="1">
        <f t="shared" si="9"/>
        <v>-1.6275776473842631E-4</v>
      </c>
      <c r="V66" s="1">
        <f t="shared" si="10"/>
        <v>-1.0132692021012052E-2</v>
      </c>
      <c r="W66" s="1">
        <f t="shared" si="11"/>
        <v>-5.0266519351055028E-2</v>
      </c>
      <c r="Y66" s="1">
        <f t="shared" si="12"/>
        <v>-8.688301129405801E-3</v>
      </c>
      <c r="Z66" s="1">
        <f t="shared" si="13"/>
        <v>-2.7298886603684038E-2</v>
      </c>
      <c r="AA66" s="1">
        <f t="shared" si="14"/>
        <v>-3.213368314438747E-3</v>
      </c>
      <c r="AB66" s="1">
        <f t="shared" si="15"/>
        <v>-7.6641600256574854E-3</v>
      </c>
      <c r="AC66" s="1">
        <f t="shared" si="16"/>
        <v>-2.0671158748807004E-3</v>
      </c>
      <c r="AD66" s="1">
        <f t="shared" si="17"/>
        <v>1.0512593311887702E-2</v>
      </c>
      <c r="AE66" s="1">
        <f t="shared" si="18"/>
        <v>-9.0643790228036765E-3</v>
      </c>
      <c r="AF66" s="1">
        <f t="shared" si="19"/>
        <v>-1.8277168970454575E-3</v>
      </c>
      <c r="AG66" s="1">
        <f t="shared" si="20"/>
        <v>-1.1797651153319082E-2</v>
      </c>
      <c r="AH66" s="1">
        <f t="shared" si="21"/>
        <v>-5.1931478483362062E-2</v>
      </c>
      <c r="AW66" s="28"/>
    </row>
    <row r="67" spans="1:49" x14ac:dyDescent="0.3">
      <c r="A67" s="120">
        <v>45384</v>
      </c>
      <c r="B67" s="121" t="s">
        <v>638</v>
      </c>
      <c r="C67" s="121" t="s">
        <v>355</v>
      </c>
      <c r="D67" s="121" t="s">
        <v>639</v>
      </c>
      <c r="E67" s="121" t="s">
        <v>640</v>
      </c>
      <c r="F67" s="121" t="s">
        <v>641</v>
      </c>
      <c r="G67" s="121" t="s">
        <v>642</v>
      </c>
      <c r="H67" s="121" t="s">
        <v>643</v>
      </c>
      <c r="I67" s="121" t="s">
        <v>644</v>
      </c>
      <c r="J67" s="121" t="s">
        <v>645</v>
      </c>
      <c r="K67" s="121" t="s">
        <v>646</v>
      </c>
      <c r="M67" s="122">
        <v>45384</v>
      </c>
      <c r="N67" s="1">
        <f t="shared" si="2"/>
        <v>4.7859990254298561E-3</v>
      </c>
      <c r="O67" s="1">
        <f t="shared" si="3"/>
        <v>1.151712353371403E-2</v>
      </c>
      <c r="P67" s="1">
        <f t="shared" si="4"/>
        <v>9.4740515397627335E-3</v>
      </c>
      <c r="Q67" s="1">
        <f t="shared" si="5"/>
        <v>2.3264149525645851E-3</v>
      </c>
      <c r="R67" s="1">
        <f t="shared" si="6"/>
        <v>-2.8201070077543992E-3</v>
      </c>
      <c r="S67" s="1">
        <f t="shared" si="7"/>
        <v>1.8663827819542622E-2</v>
      </c>
      <c r="T67" s="1">
        <f t="shared" si="8"/>
        <v>-2.351886798596116E-3</v>
      </c>
      <c r="U67" s="1">
        <f t="shared" si="9"/>
        <v>2.5509897584437297E-2</v>
      </c>
      <c r="V67" s="1">
        <f t="shared" si="10"/>
        <v>-5.4703643952971476E-3</v>
      </c>
      <c r="W67" s="1">
        <f t="shared" si="11"/>
        <v>1.0447544054431742E-2</v>
      </c>
      <c r="Y67" s="1">
        <f t="shared" si="12"/>
        <v>3.1210398931228248E-3</v>
      </c>
      <c r="Z67" s="1">
        <f t="shared" si="13"/>
        <v>9.8521644014069997E-3</v>
      </c>
      <c r="AA67" s="1">
        <f t="shared" si="14"/>
        <v>7.8090924074557021E-3</v>
      </c>
      <c r="AB67" s="1">
        <f t="shared" si="15"/>
        <v>6.6145582025755397E-4</v>
      </c>
      <c r="AC67" s="1">
        <f t="shared" si="16"/>
        <v>-4.4850661400614306E-3</v>
      </c>
      <c r="AD67" s="1">
        <f t="shared" si="17"/>
        <v>1.6998868687235592E-2</v>
      </c>
      <c r="AE67" s="1">
        <f t="shared" si="18"/>
        <v>-4.0168459309031469E-3</v>
      </c>
      <c r="AF67" s="1">
        <f t="shared" si="19"/>
        <v>2.3844938452130267E-2</v>
      </c>
      <c r="AG67" s="1">
        <f t="shared" si="20"/>
        <v>-7.1353235276041789E-3</v>
      </c>
      <c r="AH67" s="1">
        <f t="shared" si="21"/>
        <v>8.7825849221247112E-3</v>
      </c>
      <c r="AW67" s="28"/>
    </row>
    <row r="68" spans="1:49" x14ac:dyDescent="0.3">
      <c r="A68" s="120">
        <v>45385</v>
      </c>
      <c r="B68" s="121" t="s">
        <v>647</v>
      </c>
      <c r="C68" s="121" t="s">
        <v>648</v>
      </c>
      <c r="D68" s="121" t="s">
        <v>649</v>
      </c>
      <c r="E68" s="121" t="s">
        <v>650</v>
      </c>
      <c r="F68" s="1">
        <v>193.8681640625</v>
      </c>
      <c r="G68" s="121" t="s">
        <v>651</v>
      </c>
      <c r="H68" s="121" t="s">
        <v>652</v>
      </c>
      <c r="I68" s="121" t="s">
        <v>653</v>
      </c>
      <c r="J68" s="121" t="s">
        <v>654</v>
      </c>
      <c r="K68" s="121" t="s">
        <v>655</v>
      </c>
      <c r="M68" s="122">
        <v>45385</v>
      </c>
      <c r="N68" s="1">
        <f t="shared" si="2"/>
        <v>-4.9044105244114263E-3</v>
      </c>
      <c r="O68" s="1">
        <f t="shared" si="3"/>
        <v>-8.6262350353786266E-2</v>
      </c>
      <c r="P68" s="1">
        <f t="shared" si="4"/>
        <v>-1.3300069884863984E-2</v>
      </c>
      <c r="Q68" s="1">
        <f t="shared" si="5"/>
        <v>-2.8746346183568042E-2</v>
      </c>
      <c r="R68" s="1">
        <f t="shared" si="6"/>
        <v>-7.6374646199996775E-3</v>
      </c>
      <c r="S68" s="1">
        <f t="shared" si="7"/>
        <v>8.2149483076007519E-3</v>
      </c>
      <c r="T68" s="1">
        <f t="shared" si="8"/>
        <v>-6.1312790516739298E-3</v>
      </c>
      <c r="U68" s="1">
        <f t="shared" si="9"/>
        <v>-2.0750896295551682E-2</v>
      </c>
      <c r="V68" s="1">
        <f t="shared" si="10"/>
        <v>-3.4989799820843638E-2</v>
      </c>
      <c r="W68" s="1">
        <f t="shared" si="11"/>
        <v>1.6083269202606415E-2</v>
      </c>
      <c r="Y68" s="1">
        <f t="shared" si="12"/>
        <v>-6.5693696567184576E-3</v>
      </c>
      <c r="Z68" s="1">
        <f t="shared" si="13"/>
        <v>-8.79273094860933E-2</v>
      </c>
      <c r="AA68" s="1">
        <f t="shared" si="14"/>
        <v>-1.4965029017171014E-2</v>
      </c>
      <c r="AB68" s="1">
        <f t="shared" si="15"/>
        <v>-3.0411305315875072E-2</v>
      </c>
      <c r="AC68" s="1">
        <f t="shared" si="16"/>
        <v>-9.3024237523067089E-3</v>
      </c>
      <c r="AD68" s="1">
        <f t="shared" si="17"/>
        <v>6.5499891752937205E-3</v>
      </c>
      <c r="AE68" s="1">
        <f t="shared" si="18"/>
        <v>-7.7962381839809611E-3</v>
      </c>
      <c r="AF68" s="1">
        <f t="shared" si="19"/>
        <v>-2.2415855427858712E-2</v>
      </c>
      <c r="AG68" s="1">
        <f t="shared" si="20"/>
        <v>-3.6654758953150672E-2</v>
      </c>
      <c r="AH68" s="1">
        <f t="shared" si="21"/>
        <v>1.4418310070299385E-2</v>
      </c>
      <c r="AW68" s="28"/>
    </row>
    <row r="69" spans="1:49" x14ac:dyDescent="0.3">
      <c r="A69" s="120">
        <v>45386</v>
      </c>
      <c r="B69" s="1">
        <v>168.026611328125</v>
      </c>
      <c r="C69" s="121" t="s">
        <v>656</v>
      </c>
      <c r="D69" s="1">
        <v>180</v>
      </c>
      <c r="E69" s="121" t="s">
        <v>657</v>
      </c>
      <c r="F69" s="121" t="s">
        <v>658</v>
      </c>
      <c r="G69" s="121" t="s">
        <v>659</v>
      </c>
      <c r="H69" s="121" t="s">
        <v>660</v>
      </c>
      <c r="I69" s="121" t="s">
        <v>661</v>
      </c>
      <c r="J69" s="121" t="s">
        <v>662</v>
      </c>
      <c r="K69" s="121" t="s">
        <v>663</v>
      </c>
      <c r="M69" s="122">
        <v>45386</v>
      </c>
      <c r="N69" s="1">
        <f t="shared" si="2"/>
        <v>4.4917075836829719E-3</v>
      </c>
      <c r="O69" s="1">
        <f t="shared" si="3"/>
        <v>2.7302789387681974E-2</v>
      </c>
      <c r="P69" s="1">
        <f t="shared" si="4"/>
        <v>2.7777320574838865E-2</v>
      </c>
      <c r="Q69" s="1">
        <f t="shared" si="5"/>
        <v>1.3002134763465904E-2</v>
      </c>
      <c r="R69" s="1">
        <f t="shared" si="6"/>
        <v>9.1580298578264295E-3</v>
      </c>
      <c r="S69" s="1">
        <f t="shared" si="7"/>
        <v>3.1632432593376524E-2</v>
      </c>
      <c r="T69" s="1">
        <f t="shared" si="8"/>
        <v>1.811766311917308E-2</v>
      </c>
      <c r="U69" s="1">
        <f t="shared" si="9"/>
        <v>3.0385604374453184E-2</v>
      </c>
      <c r="V69" s="1">
        <f t="shared" si="10"/>
        <v>2.4185783903470478E-2</v>
      </c>
      <c r="W69" s="1">
        <f t="shared" si="11"/>
        <v>-3.6967435558774409E-2</v>
      </c>
      <c r="Y69" s="1">
        <f t="shared" si="12"/>
        <v>2.8267484513759406E-3</v>
      </c>
      <c r="Z69" s="1">
        <f t="shared" si="13"/>
        <v>2.5637830255374944E-2</v>
      </c>
      <c r="AA69" s="1">
        <f t="shared" si="14"/>
        <v>2.6112361442531835E-2</v>
      </c>
      <c r="AB69" s="1">
        <f t="shared" si="15"/>
        <v>1.1337175631158873E-2</v>
      </c>
      <c r="AC69" s="1">
        <f t="shared" si="16"/>
        <v>7.4930707255193981E-3</v>
      </c>
      <c r="AD69" s="1">
        <f t="shared" si="17"/>
        <v>2.9967473461069493E-2</v>
      </c>
      <c r="AE69" s="1">
        <f t="shared" si="18"/>
        <v>1.645270398686605E-2</v>
      </c>
      <c r="AF69" s="1">
        <f t="shared" si="19"/>
        <v>2.8720645242146153E-2</v>
      </c>
      <c r="AG69" s="1">
        <f t="shared" si="20"/>
        <v>2.2520824771163447E-2</v>
      </c>
      <c r="AH69" s="1">
        <f t="shared" si="21"/>
        <v>-3.8632394691081443E-2</v>
      </c>
      <c r="AW69" s="28"/>
    </row>
    <row r="70" spans="1:49" x14ac:dyDescent="0.3">
      <c r="A70" s="120">
        <v>45387</v>
      </c>
      <c r="B70" s="121" t="s">
        <v>664</v>
      </c>
      <c r="C70" s="121" t="s">
        <v>665</v>
      </c>
      <c r="D70" s="121" t="s">
        <v>666</v>
      </c>
      <c r="E70" s="121" t="s">
        <v>667</v>
      </c>
      <c r="F70" s="121" t="s">
        <v>668</v>
      </c>
      <c r="G70" s="121" t="s">
        <v>669</v>
      </c>
      <c r="H70" s="121" t="s">
        <v>670</v>
      </c>
      <c r="I70" s="121" t="s">
        <v>671</v>
      </c>
      <c r="J70" s="121" t="s">
        <v>672</v>
      </c>
      <c r="K70" s="121" t="s">
        <v>673</v>
      </c>
      <c r="M70" s="122">
        <v>45387</v>
      </c>
      <c r="N70" s="1">
        <f t="shared" ref="N70:N133" si="24">LN(B71/B70)</f>
        <v>-6.6857633152177971E-3</v>
      </c>
      <c r="O70" s="1">
        <f t="shared" ref="O70:O133" si="25">LN(C71/C70)</f>
        <v>-3.0559749017243665E-3</v>
      </c>
      <c r="P70" s="1">
        <f t="shared" ref="P70:P133" si="26">LN(D71/D70)</f>
        <v>6.4816679211434031E-4</v>
      </c>
      <c r="Q70" s="1">
        <f t="shared" ref="Q70:Q133" si="27">LN(E71/E70)</f>
        <v>1.5292430644877241E-2</v>
      </c>
      <c r="R70" s="1">
        <f t="shared" ref="R70:R133" si="28">LN(F71/F70)</f>
        <v>5.2029190882530154E-3</v>
      </c>
      <c r="S70" s="1">
        <f t="shared" ref="S70:S133" si="29">LN(G71/G70)</f>
        <v>-1.5459949068138136E-2</v>
      </c>
      <c r="T70" s="1">
        <f t="shared" ref="T70:T133" si="30">LN(H71/H70)</f>
        <v>-2.1880005728071193E-3</v>
      </c>
      <c r="U70" s="1">
        <f t="shared" ref="U70:U133" si="31">LN(I71/I70)</f>
        <v>-1.2288753702753943E-2</v>
      </c>
      <c r="V70" s="1">
        <f t="shared" ref="V70:V133" si="32">LN(J71/J70)</f>
        <v>-9.9920909057090793E-3</v>
      </c>
      <c r="W70" s="1">
        <f t="shared" ref="W70:W133" si="33">LN(K71/K70)</f>
        <v>4.7836763627089614E-2</v>
      </c>
      <c r="Y70" s="1">
        <f t="shared" ref="Y70:Y133" si="34">N70-$Y$3</f>
        <v>-8.3507224475248276E-3</v>
      </c>
      <c r="Z70" s="1">
        <f t="shared" ref="Z70:Z133" si="35">O70-$Y$3</f>
        <v>-4.7209340340313979E-3</v>
      </c>
      <c r="AA70" s="1">
        <f t="shared" ref="AA70:AA133" si="36">P70-$Y$3</f>
        <v>-1.0167923401926907E-3</v>
      </c>
      <c r="AB70" s="1">
        <f t="shared" ref="AB70:AB133" si="37">Q70-$Y$3</f>
        <v>1.3627471512570211E-2</v>
      </c>
      <c r="AC70" s="1">
        <f t="shared" ref="AC70:AC133" si="38">R70-$Y$3</f>
        <v>3.5379599559459841E-3</v>
      </c>
      <c r="AD70" s="1">
        <f t="shared" ref="AD70:AD133" si="39">S70-$Y$3</f>
        <v>-1.7124908200445169E-2</v>
      </c>
      <c r="AE70" s="1">
        <f t="shared" ref="AE70:AE133" si="40">T70-$Y$3</f>
        <v>-3.8529597051141506E-3</v>
      </c>
      <c r="AF70" s="1">
        <f t="shared" ref="AF70:AF133" si="41">U70-$Y$3</f>
        <v>-1.3953712835060974E-2</v>
      </c>
      <c r="AG70" s="1">
        <f t="shared" ref="AG70:AG133" si="42">V70-$Y$3</f>
        <v>-1.165705003801611E-2</v>
      </c>
      <c r="AH70" s="1">
        <f t="shared" ref="AH70:AH133" si="43">W70-$Y$3</f>
        <v>4.617180449478258E-2</v>
      </c>
      <c r="AW70" s="28"/>
    </row>
    <row r="71" spans="1:49" x14ac:dyDescent="0.3">
      <c r="A71" s="120">
        <v>45390</v>
      </c>
      <c r="B71" s="121" t="s">
        <v>674</v>
      </c>
      <c r="C71" s="121" t="s">
        <v>675</v>
      </c>
      <c r="D71" s="121" t="s">
        <v>676</v>
      </c>
      <c r="E71" s="121" t="s">
        <v>677</v>
      </c>
      <c r="F71" s="1">
        <v>195.176025390625</v>
      </c>
      <c r="G71" s="121" t="s">
        <v>678</v>
      </c>
      <c r="H71" s="121" t="s">
        <v>679</v>
      </c>
      <c r="I71" s="121" t="s">
        <v>680</v>
      </c>
      <c r="J71" s="121" t="s">
        <v>681</v>
      </c>
      <c r="K71" s="121" t="s">
        <v>682</v>
      </c>
      <c r="M71" s="122">
        <v>45390</v>
      </c>
      <c r="N71" s="1">
        <f t="shared" si="24"/>
        <v>7.2162984722266314E-3</v>
      </c>
      <c r="O71" s="1">
        <f t="shared" si="25"/>
        <v>5.1661785779255828E-3</v>
      </c>
      <c r="P71" s="1">
        <f t="shared" si="26"/>
        <v>2.5885563003373757E-3</v>
      </c>
      <c r="Q71" s="1">
        <f t="shared" si="27"/>
        <v>1.1237847706279388E-2</v>
      </c>
      <c r="R71" s="1">
        <f t="shared" si="28"/>
        <v>-6.7235630331261061E-3</v>
      </c>
      <c r="S71" s="1">
        <f t="shared" si="29"/>
        <v>-4.5359772275839023E-3</v>
      </c>
      <c r="T71" s="1">
        <f t="shared" si="30"/>
        <v>3.9723860529286116E-3</v>
      </c>
      <c r="U71" s="1">
        <f t="shared" si="31"/>
        <v>-1.6380727506095753E-2</v>
      </c>
      <c r="V71" s="1">
        <f t="shared" si="32"/>
        <v>-2.0628507823371223E-2</v>
      </c>
      <c r="W71" s="1">
        <f t="shared" si="33"/>
        <v>2.2295607975210539E-2</v>
      </c>
      <c r="Y71" s="1">
        <f t="shared" si="34"/>
        <v>5.5513393399196E-3</v>
      </c>
      <c r="Z71" s="1">
        <f t="shared" si="35"/>
        <v>3.5012194456185515E-3</v>
      </c>
      <c r="AA71" s="1">
        <f t="shared" si="36"/>
        <v>9.2359716803034459E-4</v>
      </c>
      <c r="AB71" s="1">
        <f t="shared" si="37"/>
        <v>9.5728885739723574E-3</v>
      </c>
      <c r="AC71" s="1">
        <f t="shared" si="38"/>
        <v>-8.3885221654331366E-3</v>
      </c>
      <c r="AD71" s="1">
        <f t="shared" si="39"/>
        <v>-6.2009363598909337E-3</v>
      </c>
      <c r="AE71" s="1">
        <f t="shared" si="40"/>
        <v>2.3074269206215803E-3</v>
      </c>
      <c r="AF71" s="1">
        <f t="shared" si="41"/>
        <v>-1.8045686638402784E-2</v>
      </c>
      <c r="AG71" s="1">
        <f t="shared" si="42"/>
        <v>-2.2293466955678253E-2</v>
      </c>
      <c r="AH71" s="1">
        <f t="shared" si="43"/>
        <v>2.0630648842903509E-2</v>
      </c>
      <c r="AW71" s="28"/>
    </row>
    <row r="72" spans="1:49" x14ac:dyDescent="0.3">
      <c r="A72" s="120">
        <v>45391</v>
      </c>
      <c r="B72" s="121" t="s">
        <v>683</v>
      </c>
      <c r="C72" s="121" t="s">
        <v>684</v>
      </c>
      <c r="D72" s="121" t="s">
        <v>685</v>
      </c>
      <c r="E72" s="121" t="s">
        <v>686</v>
      </c>
      <c r="F72" s="121" t="s">
        <v>687</v>
      </c>
      <c r="G72" s="121" t="s">
        <v>688</v>
      </c>
      <c r="H72" s="121" t="s">
        <v>689</v>
      </c>
      <c r="I72" s="121" t="s">
        <v>690</v>
      </c>
      <c r="J72" s="1">
        <v>85.325950622558594</v>
      </c>
      <c r="K72" s="121" t="s">
        <v>691</v>
      </c>
      <c r="M72" s="122">
        <v>45391</v>
      </c>
      <c r="N72" s="1">
        <f t="shared" si="24"/>
        <v>-1.120178370238809E-2</v>
      </c>
      <c r="O72" s="1">
        <f t="shared" si="25"/>
        <v>-2.1544390410095052E-2</v>
      </c>
      <c r="P72" s="1">
        <f t="shared" si="26"/>
        <v>1.5069094018647429E-3</v>
      </c>
      <c r="Q72" s="1">
        <f t="shared" si="27"/>
        <v>-2.9418294568421053E-3</v>
      </c>
      <c r="R72" s="1">
        <f t="shared" si="28"/>
        <v>-8.5578107349158893E-3</v>
      </c>
      <c r="S72" s="1">
        <f t="shared" si="29"/>
        <v>5.6522105663085759E-3</v>
      </c>
      <c r="T72" s="1">
        <f t="shared" si="30"/>
        <v>-7.1096466002557295E-3</v>
      </c>
      <c r="U72" s="1">
        <f t="shared" si="31"/>
        <v>6.1450684158605032E-4</v>
      </c>
      <c r="V72" s="1">
        <f t="shared" si="32"/>
        <v>1.9549090449650253E-2</v>
      </c>
      <c r="W72" s="1">
        <f t="shared" si="33"/>
        <v>-2.9373442565520526E-2</v>
      </c>
      <c r="Y72" s="1">
        <f t="shared" si="34"/>
        <v>-1.2866742834695121E-2</v>
      </c>
      <c r="Z72" s="1">
        <f t="shared" si="35"/>
        <v>-2.3209349542402082E-2</v>
      </c>
      <c r="AA72" s="1">
        <f t="shared" si="36"/>
        <v>-1.580497304422882E-4</v>
      </c>
      <c r="AB72" s="1">
        <f t="shared" si="37"/>
        <v>-4.6067885891491363E-3</v>
      </c>
      <c r="AC72" s="1">
        <f t="shared" si="38"/>
        <v>-1.022276986722292E-2</v>
      </c>
      <c r="AD72" s="1">
        <f t="shared" si="39"/>
        <v>3.9872514340015446E-3</v>
      </c>
      <c r="AE72" s="1">
        <f t="shared" si="40"/>
        <v>-8.77460573256276E-3</v>
      </c>
      <c r="AF72" s="1">
        <f t="shared" si="41"/>
        <v>-1.0504522907209808E-3</v>
      </c>
      <c r="AG72" s="1">
        <f t="shared" si="42"/>
        <v>1.7884131317343222E-2</v>
      </c>
      <c r="AH72" s="1">
        <f t="shared" si="43"/>
        <v>-3.1038401697827556E-2</v>
      </c>
      <c r="AW72" s="28"/>
    </row>
    <row r="73" spans="1:49" x14ac:dyDescent="0.3">
      <c r="A73" s="120">
        <v>45392</v>
      </c>
      <c r="B73" s="121" t="s">
        <v>692</v>
      </c>
      <c r="C73" s="121" t="s">
        <v>693</v>
      </c>
      <c r="D73" s="121" t="s">
        <v>694</v>
      </c>
      <c r="E73" s="121" t="s">
        <v>695</v>
      </c>
      <c r="F73" s="121" t="s">
        <v>696</v>
      </c>
      <c r="G73" s="1">
        <v>517.9404296875</v>
      </c>
      <c r="H73" s="121" t="s">
        <v>697</v>
      </c>
      <c r="I73" s="121" t="s">
        <v>698</v>
      </c>
      <c r="J73" s="121" t="s">
        <v>699</v>
      </c>
      <c r="K73" s="121" t="s">
        <v>700</v>
      </c>
      <c r="M73" s="122">
        <v>45392</v>
      </c>
      <c r="N73" s="1">
        <f t="shared" si="24"/>
        <v>4.2360896685348828E-2</v>
      </c>
      <c r="O73" s="1">
        <f t="shared" si="25"/>
        <v>1.9903515802022327E-2</v>
      </c>
      <c r="P73" s="1">
        <f t="shared" si="26"/>
        <v>1.6533742520167514E-2</v>
      </c>
      <c r="Q73" s="1">
        <f t="shared" si="27"/>
        <v>2.0726553499114047E-2</v>
      </c>
      <c r="R73" s="1">
        <f t="shared" si="28"/>
        <v>-2.0475099385380309E-4</v>
      </c>
      <c r="S73" s="1">
        <f t="shared" si="29"/>
        <v>6.3854627032806557E-3</v>
      </c>
      <c r="T73" s="1">
        <f t="shared" si="30"/>
        <v>1.0972974898171181E-2</v>
      </c>
      <c r="U73" s="1">
        <f t="shared" si="31"/>
        <v>1.6354924300893831E-2</v>
      </c>
      <c r="V73" s="1">
        <f t="shared" si="32"/>
        <v>4.0274544074432997E-2</v>
      </c>
      <c r="W73" s="1">
        <f t="shared" si="33"/>
        <v>1.639955677373816E-2</v>
      </c>
      <c r="Y73" s="1">
        <f t="shared" si="34"/>
        <v>4.0695937553041794E-2</v>
      </c>
      <c r="Z73" s="1">
        <f t="shared" si="35"/>
        <v>1.8238556669715297E-2</v>
      </c>
      <c r="AA73" s="1">
        <f t="shared" si="36"/>
        <v>1.4868783387860483E-2</v>
      </c>
      <c r="AB73" s="1">
        <f t="shared" si="37"/>
        <v>1.9061594366807016E-2</v>
      </c>
      <c r="AC73" s="1">
        <f t="shared" si="38"/>
        <v>-1.8697101261608343E-3</v>
      </c>
      <c r="AD73" s="1">
        <f t="shared" si="39"/>
        <v>4.7205035709736243E-3</v>
      </c>
      <c r="AE73" s="1">
        <f t="shared" si="40"/>
        <v>9.308015765864151E-3</v>
      </c>
      <c r="AF73" s="1">
        <f t="shared" si="41"/>
        <v>1.46899651685868E-2</v>
      </c>
      <c r="AG73" s="1">
        <f t="shared" si="42"/>
        <v>3.8609584942125963E-2</v>
      </c>
      <c r="AH73" s="1">
        <f t="shared" si="43"/>
        <v>1.4734597641431129E-2</v>
      </c>
      <c r="AW73" s="28"/>
    </row>
    <row r="74" spans="1:49" x14ac:dyDescent="0.3">
      <c r="A74" s="120">
        <v>45393</v>
      </c>
      <c r="B74" s="121" t="s">
        <v>701</v>
      </c>
      <c r="C74" s="1">
        <v>170.5</v>
      </c>
      <c r="D74" s="121" t="s">
        <v>702</v>
      </c>
      <c r="E74" s="121" t="s">
        <v>703</v>
      </c>
      <c r="F74" s="121" t="s">
        <v>704</v>
      </c>
      <c r="G74" s="1">
        <v>521.25830078125</v>
      </c>
      <c r="H74" s="121" t="s">
        <v>705</v>
      </c>
      <c r="I74" s="1">
        <v>628.780029296875</v>
      </c>
      <c r="J74" s="121" t="s">
        <v>706</v>
      </c>
      <c r="K74" s="121" t="s">
        <v>707</v>
      </c>
      <c r="M74" s="122">
        <v>45393</v>
      </c>
      <c r="N74" s="1">
        <f t="shared" si="24"/>
        <v>8.5896657523601011E-3</v>
      </c>
      <c r="O74" s="1">
        <f t="shared" si="25"/>
        <v>-4.3268785698121343E-2</v>
      </c>
      <c r="P74" s="1">
        <f t="shared" si="26"/>
        <v>-1.5566165935949911E-2</v>
      </c>
      <c r="Q74" s="1">
        <f t="shared" si="27"/>
        <v>-1.0594924623484414E-2</v>
      </c>
      <c r="R74" s="1">
        <f t="shared" si="28"/>
        <v>-6.6864344017202648E-2</v>
      </c>
      <c r="S74" s="1">
        <f t="shared" si="29"/>
        <v>-2.1757903153553228E-2</v>
      </c>
      <c r="T74" s="1">
        <f t="shared" si="30"/>
        <v>-1.4191315836314845E-2</v>
      </c>
      <c r="U74" s="1">
        <f t="shared" si="31"/>
        <v>-9.5078447909987037E-3</v>
      </c>
      <c r="V74" s="1">
        <f t="shared" si="32"/>
        <v>-2.7182548256330947E-2</v>
      </c>
      <c r="W74" s="1">
        <f t="shared" si="33"/>
        <v>-2.0541749097702983E-2</v>
      </c>
      <c r="Y74" s="1">
        <f t="shared" si="34"/>
        <v>6.9247066200530697E-3</v>
      </c>
      <c r="Z74" s="1">
        <f t="shared" si="35"/>
        <v>-4.4933744830428377E-2</v>
      </c>
      <c r="AA74" s="1">
        <f t="shared" si="36"/>
        <v>-1.7231125068256942E-2</v>
      </c>
      <c r="AB74" s="1">
        <f t="shared" si="37"/>
        <v>-1.2259883755791444E-2</v>
      </c>
      <c r="AC74" s="1">
        <f t="shared" si="38"/>
        <v>-6.8529303149509682E-2</v>
      </c>
      <c r="AD74" s="1">
        <f t="shared" si="39"/>
        <v>-2.3422862285860258E-2</v>
      </c>
      <c r="AE74" s="1">
        <f t="shared" si="40"/>
        <v>-1.5856274968621877E-2</v>
      </c>
      <c r="AF74" s="1">
        <f t="shared" si="41"/>
        <v>-1.1172803923305734E-2</v>
      </c>
      <c r="AG74" s="1">
        <f t="shared" si="42"/>
        <v>-2.8847507388637977E-2</v>
      </c>
      <c r="AH74" s="1">
        <f t="shared" si="43"/>
        <v>-2.2206708230010013E-2</v>
      </c>
      <c r="AW74" s="28"/>
    </row>
    <row r="75" spans="1:49" x14ac:dyDescent="0.3">
      <c r="A75" s="120">
        <v>45394</v>
      </c>
      <c r="B75" s="121" t="s">
        <v>708</v>
      </c>
      <c r="C75" s="121" t="s">
        <v>709</v>
      </c>
      <c r="D75" s="121" t="s">
        <v>710</v>
      </c>
      <c r="E75" s="121" t="s">
        <v>711</v>
      </c>
      <c r="F75" s="121" t="s">
        <v>712</v>
      </c>
      <c r="G75" s="1">
        <v>510.039306640625</v>
      </c>
      <c r="H75" s="1">
        <v>418.703369140625</v>
      </c>
      <c r="I75" s="121" t="s">
        <v>713</v>
      </c>
      <c r="J75" s="121" t="s">
        <v>714</v>
      </c>
      <c r="K75" s="121" t="s">
        <v>715</v>
      </c>
      <c r="M75" s="122">
        <v>45394</v>
      </c>
      <c r="N75" s="1">
        <f t="shared" si="24"/>
        <v>-2.2106034511103143E-2</v>
      </c>
      <c r="O75" s="1">
        <f t="shared" si="25"/>
        <v>-1.8294647443958645E-2</v>
      </c>
      <c r="P75" s="1">
        <f t="shared" si="26"/>
        <v>-1.3577002419975458E-2</v>
      </c>
      <c r="Q75" s="1">
        <f t="shared" si="27"/>
        <v>-1.8363193520573882E-2</v>
      </c>
      <c r="R75" s="1">
        <f t="shared" si="28"/>
        <v>5.4705306870924363E-4</v>
      </c>
      <c r="S75" s="1">
        <f t="shared" si="29"/>
        <v>-2.3061204441884846E-2</v>
      </c>
      <c r="T75" s="1">
        <f t="shared" si="30"/>
        <v>-1.977229409618023E-2</v>
      </c>
      <c r="U75" s="1">
        <f t="shared" si="31"/>
        <v>-2.5497718084833695E-2</v>
      </c>
      <c r="V75" s="1">
        <f t="shared" si="32"/>
        <v>-2.5089450916783131E-2</v>
      </c>
      <c r="W75" s="1">
        <f t="shared" si="33"/>
        <v>-5.7574659738332548E-2</v>
      </c>
      <c r="Y75" s="1">
        <f t="shared" si="34"/>
        <v>-2.3770993643410173E-2</v>
      </c>
      <c r="Z75" s="1">
        <f t="shared" si="35"/>
        <v>-1.9959606576265675E-2</v>
      </c>
      <c r="AA75" s="1">
        <f t="shared" si="36"/>
        <v>-1.5241961552282489E-2</v>
      </c>
      <c r="AB75" s="1">
        <f t="shared" si="37"/>
        <v>-2.0028152652880913E-2</v>
      </c>
      <c r="AC75" s="1">
        <f t="shared" si="38"/>
        <v>-1.1179060635977875E-3</v>
      </c>
      <c r="AD75" s="1">
        <f t="shared" si="39"/>
        <v>-2.4726163574191877E-2</v>
      </c>
      <c r="AE75" s="1">
        <f t="shared" si="40"/>
        <v>-2.143725322848726E-2</v>
      </c>
      <c r="AF75" s="1">
        <f t="shared" si="41"/>
        <v>-2.7162677217140725E-2</v>
      </c>
      <c r="AG75" s="1">
        <f t="shared" si="42"/>
        <v>-2.6754410049090162E-2</v>
      </c>
      <c r="AH75" s="1">
        <f t="shared" si="43"/>
        <v>-5.9239618870639582E-2</v>
      </c>
      <c r="AW75" s="28"/>
    </row>
    <row r="76" spans="1:49" x14ac:dyDescent="0.3">
      <c r="A76" s="120">
        <v>45397</v>
      </c>
      <c r="B76" s="1">
        <v>171.87841796875</v>
      </c>
      <c r="C76" s="121" t="s">
        <v>716</v>
      </c>
      <c r="D76" s="121" t="s">
        <v>717</v>
      </c>
      <c r="E76" s="121" t="s">
        <v>718</v>
      </c>
      <c r="F76" s="121" t="s">
        <v>719</v>
      </c>
      <c r="G76" s="121" t="s">
        <v>720</v>
      </c>
      <c r="H76" s="121" t="s">
        <v>450</v>
      </c>
      <c r="I76" s="121" t="s">
        <v>721</v>
      </c>
      <c r="J76" s="121" t="s">
        <v>722</v>
      </c>
      <c r="K76" s="121" t="s">
        <v>723</v>
      </c>
      <c r="M76" s="122">
        <v>45397</v>
      </c>
      <c r="N76" s="1">
        <f t="shared" si="24"/>
        <v>-1.9353305375599587E-2</v>
      </c>
      <c r="O76" s="1">
        <f t="shared" si="25"/>
        <v>1.939648957994651E-2</v>
      </c>
      <c r="P76" s="1">
        <f t="shared" si="26"/>
        <v>-1.6350785294999635E-3</v>
      </c>
      <c r="Q76" s="1">
        <f t="shared" si="27"/>
        <v>-2.9748339157676337E-3</v>
      </c>
      <c r="R76" s="1">
        <f t="shared" si="28"/>
        <v>-1.1493415246946496E-2</v>
      </c>
      <c r="S76" s="1">
        <f t="shared" si="29"/>
        <v>-9.4007192781890309E-4</v>
      </c>
      <c r="T76" s="1">
        <f t="shared" si="30"/>
        <v>2.2698890982675093E-3</v>
      </c>
      <c r="U76" s="1">
        <f t="shared" si="31"/>
        <v>1.693557055937776E-2</v>
      </c>
      <c r="V76" s="1">
        <f t="shared" si="32"/>
        <v>1.6308063993862549E-2</v>
      </c>
      <c r="W76" s="1">
        <f t="shared" si="33"/>
        <v>-2.7435068682226262E-2</v>
      </c>
      <c r="Y76" s="1">
        <f t="shared" si="34"/>
        <v>-2.1018264507906618E-2</v>
      </c>
      <c r="Z76" s="1">
        <f t="shared" si="35"/>
        <v>1.773153044763948E-2</v>
      </c>
      <c r="AA76" s="1">
        <f t="shared" si="36"/>
        <v>-3.3000376618069946E-3</v>
      </c>
      <c r="AB76" s="1">
        <f t="shared" si="37"/>
        <v>-4.6397930480746646E-3</v>
      </c>
      <c r="AC76" s="1">
        <f t="shared" si="38"/>
        <v>-1.3158374379253527E-2</v>
      </c>
      <c r="AD76" s="1">
        <f t="shared" si="39"/>
        <v>-2.6050310601259345E-3</v>
      </c>
      <c r="AE76" s="1">
        <f t="shared" si="40"/>
        <v>6.049299659604782E-4</v>
      </c>
      <c r="AF76" s="1">
        <f t="shared" si="41"/>
        <v>1.5270611427070729E-2</v>
      </c>
      <c r="AG76" s="1">
        <f t="shared" si="42"/>
        <v>1.4643104861555518E-2</v>
      </c>
      <c r="AH76" s="1">
        <f t="shared" si="43"/>
        <v>-2.9100027814533292E-2</v>
      </c>
      <c r="AW76" s="28"/>
    </row>
    <row r="77" spans="1:49" x14ac:dyDescent="0.3">
      <c r="A77" s="120">
        <v>45398</v>
      </c>
      <c r="B77" s="1">
        <v>168.583984375</v>
      </c>
      <c r="C77" s="121" t="s">
        <v>724</v>
      </c>
      <c r="D77" s="121" t="s">
        <v>725</v>
      </c>
      <c r="E77" s="121" t="s">
        <v>726</v>
      </c>
      <c r="F77" s="121" t="s">
        <v>727</v>
      </c>
      <c r="G77" s="121" t="s">
        <v>728</v>
      </c>
      <c r="H77" s="121" t="s">
        <v>729</v>
      </c>
      <c r="I77" s="1">
        <v>617.52001953125</v>
      </c>
      <c r="J77" s="121" t="s">
        <v>730</v>
      </c>
      <c r="K77" s="121" t="s">
        <v>731</v>
      </c>
      <c r="M77" s="122">
        <v>45398</v>
      </c>
      <c r="N77" s="1">
        <f t="shared" si="24"/>
        <v>-8.1807639308471153E-3</v>
      </c>
      <c r="O77" s="1">
        <f t="shared" si="25"/>
        <v>-5.94858613106901E-2</v>
      </c>
      <c r="P77" s="1">
        <f t="shared" si="26"/>
        <v>-1.1190509048216201E-2</v>
      </c>
      <c r="Q77" s="1">
        <f t="shared" si="27"/>
        <v>6.9061635692971753E-3</v>
      </c>
      <c r="R77" s="1">
        <f t="shared" si="28"/>
        <v>-3.990212774741232E-3</v>
      </c>
      <c r="S77" s="1">
        <f t="shared" si="29"/>
        <v>-1.1248314168911174E-2</v>
      </c>
      <c r="T77" s="1">
        <f t="shared" si="30"/>
        <v>-6.6310319830185519E-3</v>
      </c>
      <c r="U77" s="1">
        <f t="shared" si="31"/>
        <v>-6.2215696360807477E-3</v>
      </c>
      <c r="V77" s="1">
        <f t="shared" si="32"/>
        <v>-3.9433529785555844E-2</v>
      </c>
      <c r="W77" s="1">
        <f t="shared" si="33"/>
        <v>-1.0622083971373398E-2</v>
      </c>
      <c r="Y77" s="1">
        <f t="shared" si="34"/>
        <v>-9.8457230631541458E-3</v>
      </c>
      <c r="Z77" s="1">
        <f t="shared" si="35"/>
        <v>-6.1150820442997134E-2</v>
      </c>
      <c r="AA77" s="1">
        <f t="shared" si="36"/>
        <v>-1.2855468180523232E-2</v>
      </c>
      <c r="AB77" s="1">
        <f t="shared" si="37"/>
        <v>5.2412044369901439E-3</v>
      </c>
      <c r="AC77" s="1">
        <f t="shared" si="38"/>
        <v>-5.6551719070482634E-3</v>
      </c>
      <c r="AD77" s="1">
        <f t="shared" si="39"/>
        <v>-1.2913273301218204E-2</v>
      </c>
      <c r="AE77" s="1">
        <f t="shared" si="40"/>
        <v>-8.2959911153255832E-3</v>
      </c>
      <c r="AF77" s="1">
        <f t="shared" si="41"/>
        <v>-7.886528768387779E-3</v>
      </c>
      <c r="AG77" s="1">
        <f t="shared" si="42"/>
        <v>-4.1098488917862878E-2</v>
      </c>
      <c r="AH77" s="1">
        <f t="shared" si="43"/>
        <v>-1.2287043103680428E-2</v>
      </c>
      <c r="AW77" s="28"/>
    </row>
    <row r="78" spans="1:49" x14ac:dyDescent="0.3">
      <c r="A78" s="120">
        <v>45399</v>
      </c>
      <c r="B78" s="121" t="s">
        <v>732</v>
      </c>
      <c r="C78" s="121" t="s">
        <v>733</v>
      </c>
      <c r="D78" s="121" t="s">
        <v>734</v>
      </c>
      <c r="E78" s="121" t="s">
        <v>735</v>
      </c>
      <c r="F78" s="121" t="s">
        <v>736</v>
      </c>
      <c r="G78" s="121" t="s">
        <v>737</v>
      </c>
      <c r="H78" s="121" t="s">
        <v>738</v>
      </c>
      <c r="I78" s="121" t="s">
        <v>739</v>
      </c>
      <c r="J78" s="121" t="s">
        <v>740</v>
      </c>
      <c r="K78" s="121" t="s">
        <v>741</v>
      </c>
      <c r="M78" s="122">
        <v>45399</v>
      </c>
      <c r="N78" s="1">
        <f t="shared" si="24"/>
        <v>-5.730776977513668E-3</v>
      </c>
      <c r="O78" s="1">
        <f t="shared" si="25"/>
        <v>6.8586327591381628E-3</v>
      </c>
      <c r="P78" s="1">
        <f t="shared" si="26"/>
        <v>-1.1428682278620107E-2</v>
      </c>
      <c r="Q78" s="1">
        <f t="shared" si="27"/>
        <v>3.4672176751301574E-3</v>
      </c>
      <c r="R78" s="1">
        <f t="shared" si="28"/>
        <v>6.4760345915792997E-3</v>
      </c>
      <c r="S78" s="1">
        <f t="shared" si="29"/>
        <v>1.5321980622451225E-2</v>
      </c>
      <c r="T78" s="1">
        <f t="shared" si="30"/>
        <v>-1.85520054566864E-2</v>
      </c>
      <c r="U78" s="1">
        <f t="shared" si="31"/>
        <v>-5.1133538128161722E-3</v>
      </c>
      <c r="V78" s="1">
        <f t="shared" si="32"/>
        <v>7.5397428152863596E-3</v>
      </c>
      <c r="W78" s="1">
        <f t="shared" si="33"/>
        <v>-3.6155647217109892E-2</v>
      </c>
      <c r="Y78" s="1">
        <f t="shared" si="34"/>
        <v>-7.3957361098206994E-3</v>
      </c>
      <c r="Z78" s="1">
        <f t="shared" si="35"/>
        <v>5.1936736268311315E-3</v>
      </c>
      <c r="AA78" s="1">
        <f t="shared" si="36"/>
        <v>-1.3093641410927137E-2</v>
      </c>
      <c r="AB78" s="1">
        <f t="shared" si="37"/>
        <v>1.8022585428231262E-3</v>
      </c>
      <c r="AC78" s="1">
        <f t="shared" si="38"/>
        <v>4.8110754592722684E-3</v>
      </c>
      <c r="AD78" s="1">
        <f t="shared" si="39"/>
        <v>1.3657021490144194E-2</v>
      </c>
      <c r="AE78" s="1">
        <f t="shared" si="40"/>
        <v>-2.0216964588993431E-2</v>
      </c>
      <c r="AF78" s="1">
        <f t="shared" si="41"/>
        <v>-6.7783129451232035E-3</v>
      </c>
      <c r="AG78" s="1">
        <f t="shared" si="42"/>
        <v>5.8747836829793282E-3</v>
      </c>
      <c r="AH78" s="1">
        <f t="shared" si="43"/>
        <v>-3.7820606349416926E-2</v>
      </c>
      <c r="AW78" s="28"/>
    </row>
    <row r="79" spans="1:49" x14ac:dyDescent="0.3">
      <c r="A79" s="120">
        <v>45400</v>
      </c>
      <c r="B79" s="121" t="s">
        <v>742</v>
      </c>
      <c r="C79" s="121" t="s">
        <v>743</v>
      </c>
      <c r="D79" s="121" t="s">
        <v>744</v>
      </c>
      <c r="E79" s="121" t="s">
        <v>745</v>
      </c>
      <c r="F79" s="121" t="s">
        <v>746</v>
      </c>
      <c r="G79" s="121" t="s">
        <v>747</v>
      </c>
      <c r="H79" s="121" t="s">
        <v>748</v>
      </c>
      <c r="I79" s="121" t="s">
        <v>749</v>
      </c>
      <c r="J79" s="121" t="s">
        <v>750</v>
      </c>
      <c r="K79" s="121" t="s">
        <v>83</v>
      </c>
      <c r="M79" s="122">
        <v>45400</v>
      </c>
      <c r="N79" s="1">
        <f t="shared" si="24"/>
        <v>-1.228772686598761E-2</v>
      </c>
      <c r="O79" s="1">
        <f t="shared" si="25"/>
        <v>-5.5960525240683963E-2</v>
      </c>
      <c r="P79" s="1">
        <f t="shared" si="26"/>
        <v>-2.5944630354618456E-2</v>
      </c>
      <c r="Q79" s="1">
        <f t="shared" si="27"/>
        <v>-1.2383222186394954E-2</v>
      </c>
      <c r="R79" s="1">
        <f t="shared" si="28"/>
        <v>2.4793528889659935E-2</v>
      </c>
      <c r="S79" s="1">
        <f t="shared" si="29"/>
        <v>-4.2188935172573397E-2</v>
      </c>
      <c r="T79" s="1">
        <f t="shared" si="30"/>
        <v>-1.2820804243308125E-2</v>
      </c>
      <c r="U79" s="1">
        <f t="shared" si="31"/>
        <v>-9.5336421187312323E-2</v>
      </c>
      <c r="V79" s="1">
        <f t="shared" si="32"/>
        <v>-0.10541158399181057</v>
      </c>
      <c r="W79" s="1">
        <f t="shared" si="33"/>
        <v>-1.9395783902690283E-2</v>
      </c>
      <c r="Y79" s="1">
        <f t="shared" si="34"/>
        <v>-1.3952685998294641E-2</v>
      </c>
      <c r="Z79" s="1">
        <f t="shared" si="35"/>
        <v>-5.7625484372990997E-2</v>
      </c>
      <c r="AA79" s="1">
        <f t="shared" si="36"/>
        <v>-2.7609589486925486E-2</v>
      </c>
      <c r="AB79" s="1">
        <f t="shared" si="37"/>
        <v>-1.4048181318701985E-2</v>
      </c>
      <c r="AC79" s="1">
        <f t="shared" si="38"/>
        <v>2.3128569757352904E-2</v>
      </c>
      <c r="AD79" s="1">
        <f t="shared" si="39"/>
        <v>-4.3853894304880431E-2</v>
      </c>
      <c r="AE79" s="1">
        <f t="shared" si="40"/>
        <v>-1.4485763375615156E-2</v>
      </c>
      <c r="AF79" s="1">
        <f t="shared" si="41"/>
        <v>-9.7001380319619357E-2</v>
      </c>
      <c r="AG79" s="1">
        <f t="shared" si="42"/>
        <v>-0.1070765431241176</v>
      </c>
      <c r="AH79" s="1">
        <f t="shared" si="43"/>
        <v>-2.1060743034997314E-2</v>
      </c>
      <c r="AW79" s="28"/>
    </row>
    <row r="80" spans="1:49" x14ac:dyDescent="0.3">
      <c r="A80" s="120">
        <v>45401</v>
      </c>
      <c r="B80" s="121" t="s">
        <v>751</v>
      </c>
      <c r="C80" s="121" t="s">
        <v>752</v>
      </c>
      <c r="D80" s="121" t="s">
        <v>753</v>
      </c>
      <c r="E80" s="121" t="s">
        <v>754</v>
      </c>
      <c r="F80" s="121" t="s">
        <v>755</v>
      </c>
      <c r="G80" s="121" t="s">
        <v>756</v>
      </c>
      <c r="H80" s="1">
        <v>396.095947265625</v>
      </c>
      <c r="I80" s="121" t="s">
        <v>757</v>
      </c>
      <c r="J80" s="121" t="s">
        <v>758</v>
      </c>
      <c r="K80" s="121" t="s">
        <v>759</v>
      </c>
      <c r="M80" s="122">
        <v>45401</v>
      </c>
      <c r="N80" s="1">
        <f t="shared" si="24"/>
        <v>5.0779456856787971E-3</v>
      </c>
      <c r="O80" s="1">
        <f t="shared" si="25"/>
        <v>1.3546671590083117E-2</v>
      </c>
      <c r="P80" s="1">
        <f t="shared" si="26"/>
        <v>1.4778822047522077E-2</v>
      </c>
      <c r="Q80" s="1">
        <f t="shared" si="27"/>
        <v>1.4112529528779524E-2</v>
      </c>
      <c r="R80" s="1">
        <f t="shared" si="28"/>
        <v>1.9243095322685009E-2</v>
      </c>
      <c r="S80" s="1">
        <f t="shared" si="29"/>
        <v>1.371047998066414E-3</v>
      </c>
      <c r="T80" s="1">
        <f t="shared" si="30"/>
        <v>4.5995258343530729E-3</v>
      </c>
      <c r="U80" s="1">
        <f t="shared" si="31"/>
        <v>-7.930544732717232E-4</v>
      </c>
      <c r="V80" s="1">
        <f t="shared" si="32"/>
        <v>4.2621943007893792E-2</v>
      </c>
      <c r="W80" s="1">
        <f t="shared" si="33"/>
        <v>-3.4593555969318138E-2</v>
      </c>
      <c r="Y80" s="1">
        <f t="shared" si="34"/>
        <v>3.4129865533717657E-3</v>
      </c>
      <c r="Z80" s="1">
        <f t="shared" si="35"/>
        <v>1.1881712457776087E-2</v>
      </c>
      <c r="AA80" s="1">
        <f t="shared" si="36"/>
        <v>1.3113862915215047E-2</v>
      </c>
      <c r="AB80" s="1">
        <f t="shared" si="37"/>
        <v>1.2447570396472494E-2</v>
      </c>
      <c r="AC80" s="1">
        <f t="shared" si="38"/>
        <v>1.7578136190377978E-2</v>
      </c>
      <c r="AD80" s="1">
        <f t="shared" si="39"/>
        <v>-2.939111342406171E-4</v>
      </c>
      <c r="AE80" s="1">
        <f t="shared" si="40"/>
        <v>2.9345667020460415E-3</v>
      </c>
      <c r="AF80" s="1">
        <f t="shared" si="41"/>
        <v>-2.4580136055787545E-3</v>
      </c>
      <c r="AG80" s="1">
        <f t="shared" si="42"/>
        <v>4.0956983875586758E-2</v>
      </c>
      <c r="AH80" s="1">
        <f t="shared" si="43"/>
        <v>-3.6258515101625172E-2</v>
      </c>
      <c r="AW80" s="28"/>
    </row>
    <row r="81" spans="1:49" x14ac:dyDescent="0.3">
      <c r="A81" s="120">
        <v>45404</v>
      </c>
      <c r="B81" s="121" t="s">
        <v>760</v>
      </c>
      <c r="C81" s="121" t="s">
        <v>761</v>
      </c>
      <c r="D81" s="121" t="s">
        <v>762</v>
      </c>
      <c r="E81" s="121" t="s">
        <v>763</v>
      </c>
      <c r="F81" s="121" t="s">
        <v>764</v>
      </c>
      <c r="G81" s="121" t="s">
        <v>765</v>
      </c>
      <c r="H81" s="121" t="s">
        <v>766</v>
      </c>
      <c r="I81" s="121" t="s">
        <v>767</v>
      </c>
      <c r="J81" s="121" t="s">
        <v>768</v>
      </c>
      <c r="K81" s="121" t="s">
        <v>769</v>
      </c>
      <c r="M81" s="122">
        <v>45404</v>
      </c>
      <c r="N81" s="1">
        <f t="shared" si="24"/>
        <v>6.3712997960690843E-3</v>
      </c>
      <c r="O81" s="1">
        <f t="shared" si="25"/>
        <v>2.4128017951804252E-2</v>
      </c>
      <c r="P81" s="1">
        <f t="shared" si="26"/>
        <v>1.2949686973534717E-2</v>
      </c>
      <c r="Q81" s="1">
        <f t="shared" si="27"/>
        <v>1.2589994239320355E-2</v>
      </c>
      <c r="R81" s="1">
        <f t="shared" si="28"/>
        <v>1.4310293982658951E-2</v>
      </c>
      <c r="S81" s="1">
        <f t="shared" si="29"/>
        <v>2.9393753761615987E-2</v>
      </c>
      <c r="T81" s="1">
        <f t="shared" si="30"/>
        <v>1.6351073134518168E-2</v>
      </c>
      <c r="U81" s="1">
        <f t="shared" si="31"/>
        <v>4.089415999384291E-2</v>
      </c>
      <c r="V81" s="1">
        <f t="shared" si="32"/>
        <v>3.588110397360806E-2</v>
      </c>
      <c r="W81" s="1">
        <f t="shared" si="33"/>
        <v>1.8345226676441295E-2</v>
      </c>
      <c r="Y81" s="1">
        <f t="shared" si="34"/>
        <v>4.706340663762053E-3</v>
      </c>
      <c r="Z81" s="1">
        <f t="shared" si="35"/>
        <v>2.2463058819497221E-2</v>
      </c>
      <c r="AA81" s="1">
        <f t="shared" si="36"/>
        <v>1.1284727841227686E-2</v>
      </c>
      <c r="AB81" s="1">
        <f t="shared" si="37"/>
        <v>1.0925035107013325E-2</v>
      </c>
      <c r="AC81" s="1">
        <f t="shared" si="38"/>
        <v>1.264533485035192E-2</v>
      </c>
      <c r="AD81" s="1">
        <f t="shared" si="39"/>
        <v>2.7728794629308957E-2</v>
      </c>
      <c r="AE81" s="1">
        <f t="shared" si="40"/>
        <v>1.4686114002211138E-2</v>
      </c>
      <c r="AF81" s="1">
        <f t="shared" si="41"/>
        <v>3.9229200861535876E-2</v>
      </c>
      <c r="AG81" s="1">
        <f t="shared" si="42"/>
        <v>3.4216144841301026E-2</v>
      </c>
      <c r="AH81" s="1">
        <f t="shared" si="43"/>
        <v>1.6680267544134264E-2</v>
      </c>
      <c r="AW81" s="28"/>
    </row>
    <row r="82" spans="1:49" x14ac:dyDescent="0.3">
      <c r="A82" s="120">
        <v>45405</v>
      </c>
      <c r="B82" s="121" t="s">
        <v>770</v>
      </c>
      <c r="C82" s="121" t="s">
        <v>771</v>
      </c>
      <c r="D82" s="121" t="s">
        <v>772</v>
      </c>
      <c r="E82" s="121" t="s">
        <v>773</v>
      </c>
      <c r="F82" s="121" t="s">
        <v>774</v>
      </c>
      <c r="G82" s="121" t="s">
        <v>775</v>
      </c>
      <c r="H82" s="1">
        <v>404.48193359375</v>
      </c>
      <c r="I82" s="1">
        <v>577.75</v>
      </c>
      <c r="J82" s="121" t="s">
        <v>776</v>
      </c>
      <c r="K82" s="121" t="s">
        <v>777</v>
      </c>
      <c r="M82" s="122">
        <v>45405</v>
      </c>
      <c r="N82" s="1">
        <f t="shared" si="24"/>
        <v>1.2622278729723985E-2</v>
      </c>
      <c r="O82" s="1">
        <f t="shared" si="25"/>
        <v>-3.486722800001462E-3</v>
      </c>
      <c r="P82" s="1">
        <f t="shared" si="26"/>
        <v>-1.6567346246601708E-2</v>
      </c>
      <c r="Q82" s="1">
        <f t="shared" si="27"/>
        <v>5.4822254293346341E-3</v>
      </c>
      <c r="R82" s="1">
        <f t="shared" si="28"/>
        <v>4.8803894668721015E-3</v>
      </c>
      <c r="S82" s="1">
        <f t="shared" si="29"/>
        <v>-5.254714879225051E-3</v>
      </c>
      <c r="T82" s="1">
        <f t="shared" si="30"/>
        <v>3.6490430575147966E-3</v>
      </c>
      <c r="U82" s="1">
        <f t="shared" si="31"/>
        <v>-3.9956951359156015E-2</v>
      </c>
      <c r="V82" s="1">
        <f t="shared" si="32"/>
        <v>-3.3883610889691385E-2</v>
      </c>
      <c r="W82" s="1">
        <f t="shared" si="33"/>
        <v>0.1138741562183047</v>
      </c>
      <c r="Y82" s="1">
        <f t="shared" si="34"/>
        <v>1.0957319597416955E-2</v>
      </c>
      <c r="Z82" s="1">
        <f t="shared" si="35"/>
        <v>-5.1516819323084934E-3</v>
      </c>
      <c r="AA82" s="1">
        <f t="shared" si="36"/>
        <v>-1.8232305378908738E-2</v>
      </c>
      <c r="AB82" s="1">
        <f t="shared" si="37"/>
        <v>3.8172662970276027E-3</v>
      </c>
      <c r="AC82" s="1">
        <f t="shared" si="38"/>
        <v>3.2154303345650701E-3</v>
      </c>
      <c r="AD82" s="1">
        <f t="shared" si="39"/>
        <v>-6.9196740115320824E-3</v>
      </c>
      <c r="AE82" s="1">
        <f t="shared" si="40"/>
        <v>1.9840839252077656E-3</v>
      </c>
      <c r="AF82" s="1">
        <f t="shared" si="41"/>
        <v>-4.1621910491463049E-2</v>
      </c>
      <c r="AG82" s="1">
        <f t="shared" si="42"/>
        <v>-3.5548570021998419E-2</v>
      </c>
      <c r="AH82" s="1">
        <f t="shared" si="43"/>
        <v>0.11220919708599766</v>
      </c>
      <c r="AW82" s="28"/>
    </row>
    <row r="83" spans="1:49" x14ac:dyDescent="0.3">
      <c r="A83" s="120">
        <v>45406</v>
      </c>
      <c r="B83" s="121" t="s">
        <v>778</v>
      </c>
      <c r="C83" s="121" t="s">
        <v>779</v>
      </c>
      <c r="D83" s="121" t="s">
        <v>780</v>
      </c>
      <c r="E83" s="121" t="s">
        <v>781</v>
      </c>
      <c r="F83" s="121" t="s">
        <v>782</v>
      </c>
      <c r="G83" s="121" t="s">
        <v>783</v>
      </c>
      <c r="H83" s="121" t="s">
        <v>784</v>
      </c>
      <c r="I83" s="121" t="s">
        <v>785</v>
      </c>
      <c r="J83" s="121" t="s">
        <v>786</v>
      </c>
      <c r="K83" s="121" t="s">
        <v>787</v>
      </c>
      <c r="M83" s="122">
        <v>45406</v>
      </c>
      <c r="N83" s="1">
        <f t="shared" si="24"/>
        <v>5.1341752265790276E-3</v>
      </c>
      <c r="O83" s="1">
        <f t="shared" si="25"/>
        <v>1.3224343385314899E-2</v>
      </c>
      <c r="P83" s="1">
        <f t="shared" si="26"/>
        <v>-1.6673704471386296E-2</v>
      </c>
      <c r="Q83" s="1">
        <f t="shared" si="27"/>
        <v>-1.9865505496995398E-2</v>
      </c>
      <c r="R83" s="1">
        <f t="shared" si="28"/>
        <v>1.5007555177956277E-3</v>
      </c>
      <c r="S83" s="1">
        <f t="shared" si="29"/>
        <v>-0.11161666051340144</v>
      </c>
      <c r="T83" s="1">
        <f t="shared" si="30"/>
        <v>-2.4800135617313503E-2</v>
      </c>
      <c r="U83" s="1">
        <f t="shared" si="31"/>
        <v>1.7287366770681007E-2</v>
      </c>
      <c r="V83" s="1">
        <f t="shared" si="32"/>
        <v>3.641609677883343E-2</v>
      </c>
      <c r="W83" s="1">
        <f t="shared" si="33"/>
        <v>4.8458144704714531E-2</v>
      </c>
      <c r="Y83" s="1">
        <f t="shared" si="34"/>
        <v>3.4692160942719963E-3</v>
      </c>
      <c r="Z83" s="1">
        <f t="shared" si="35"/>
        <v>1.1559384253007869E-2</v>
      </c>
      <c r="AA83" s="1">
        <f t="shared" si="36"/>
        <v>-1.8338663603693326E-2</v>
      </c>
      <c r="AB83" s="1">
        <f t="shared" si="37"/>
        <v>-2.1530464629302429E-2</v>
      </c>
      <c r="AC83" s="1">
        <f t="shared" si="38"/>
        <v>-1.6420361451140349E-4</v>
      </c>
      <c r="AD83" s="1">
        <f t="shared" si="39"/>
        <v>-0.11328161964570847</v>
      </c>
      <c r="AE83" s="1">
        <f t="shared" si="40"/>
        <v>-2.6465094749620534E-2</v>
      </c>
      <c r="AF83" s="1">
        <f t="shared" si="41"/>
        <v>1.5622407638373977E-2</v>
      </c>
      <c r="AG83" s="1">
        <f t="shared" si="42"/>
        <v>3.4751137646526396E-2</v>
      </c>
      <c r="AH83" s="1">
        <f t="shared" si="43"/>
        <v>4.6793185572407497E-2</v>
      </c>
      <c r="AW83" s="28"/>
    </row>
    <row r="84" spans="1:49" x14ac:dyDescent="0.3">
      <c r="A84" s="120">
        <v>45407</v>
      </c>
      <c r="B84" s="121" t="s">
        <v>788</v>
      </c>
      <c r="C84" s="121" t="s">
        <v>789</v>
      </c>
      <c r="D84" s="121" t="s">
        <v>790</v>
      </c>
      <c r="E84" s="121" t="s">
        <v>791</v>
      </c>
      <c r="F84" s="121" t="s">
        <v>792</v>
      </c>
      <c r="G84" s="1">
        <v>439.775634765625</v>
      </c>
      <c r="H84" s="121" t="s">
        <v>793</v>
      </c>
      <c r="I84" s="121" t="s">
        <v>794</v>
      </c>
      <c r="J84" s="1">
        <v>82.6048583984375</v>
      </c>
      <c r="K84" s="121" t="s">
        <v>795</v>
      </c>
      <c r="M84" s="122">
        <v>45407</v>
      </c>
      <c r="N84" s="1">
        <f t="shared" si="24"/>
        <v>-3.4789227811503273E-3</v>
      </c>
      <c r="O84" s="1">
        <f t="shared" si="25"/>
        <v>2.3397387709796214E-2</v>
      </c>
      <c r="P84" s="1">
        <f t="shared" si="26"/>
        <v>3.3686544842953303E-2</v>
      </c>
      <c r="Q84" s="1">
        <f t="shared" si="27"/>
        <v>9.7347777925878426E-2</v>
      </c>
      <c r="R84" s="1">
        <f t="shared" si="28"/>
        <v>6.2050723382026758E-4</v>
      </c>
      <c r="S84" s="1">
        <f t="shared" si="29"/>
        <v>4.3180435563907119E-3</v>
      </c>
      <c r="T84" s="1">
        <f t="shared" si="30"/>
        <v>1.8079395894013892E-2</v>
      </c>
      <c r="U84" s="1">
        <f t="shared" si="31"/>
        <v>-6.3408956891540837E-3</v>
      </c>
      <c r="V84" s="1">
        <f t="shared" si="32"/>
        <v>5.9924004227787792E-2</v>
      </c>
      <c r="W84" s="1">
        <f t="shared" si="33"/>
        <v>-1.1168015552992055E-2</v>
      </c>
      <c r="Y84" s="1">
        <f t="shared" si="34"/>
        <v>-5.1438819134573587E-3</v>
      </c>
      <c r="Z84" s="1">
        <f t="shared" si="35"/>
        <v>2.1732428577489183E-2</v>
      </c>
      <c r="AA84" s="1">
        <f t="shared" si="36"/>
        <v>3.2021585710646269E-2</v>
      </c>
      <c r="AB84" s="1">
        <f t="shared" si="37"/>
        <v>9.5682818793571392E-2</v>
      </c>
      <c r="AC84" s="1">
        <f t="shared" si="38"/>
        <v>-1.0444518984867636E-3</v>
      </c>
      <c r="AD84" s="1">
        <f t="shared" si="39"/>
        <v>2.6530844240836805E-3</v>
      </c>
      <c r="AE84" s="1">
        <f t="shared" si="40"/>
        <v>1.6414436761706862E-2</v>
      </c>
      <c r="AF84" s="1">
        <f t="shared" si="41"/>
        <v>-8.0058548214611142E-3</v>
      </c>
      <c r="AG84" s="1">
        <f t="shared" si="42"/>
        <v>5.8259045095480758E-2</v>
      </c>
      <c r="AH84" s="1">
        <f t="shared" si="43"/>
        <v>-1.2832974685299085E-2</v>
      </c>
      <c r="AW84" s="28"/>
    </row>
    <row r="85" spans="1:49" x14ac:dyDescent="0.3">
      <c r="A85" s="120">
        <v>45408</v>
      </c>
      <c r="B85" s="121" t="s">
        <v>796</v>
      </c>
      <c r="C85" s="121" t="s">
        <v>797</v>
      </c>
      <c r="D85" s="121" t="s">
        <v>798</v>
      </c>
      <c r="E85" s="1">
        <v>171.1318359375</v>
      </c>
      <c r="F85" s="121" t="s">
        <v>799</v>
      </c>
      <c r="G85" s="1">
        <v>441.6787109375</v>
      </c>
      <c r="H85" s="121" t="s">
        <v>800</v>
      </c>
      <c r="I85" s="1">
        <v>561.22998046875</v>
      </c>
      <c r="J85" s="121" t="s">
        <v>801</v>
      </c>
      <c r="K85" s="121" t="s">
        <v>802</v>
      </c>
      <c r="M85" s="122">
        <v>45408</v>
      </c>
      <c r="N85" s="1">
        <f t="shared" si="24"/>
        <v>2.4505344277445305E-2</v>
      </c>
      <c r="O85" s="1">
        <f t="shared" si="25"/>
        <v>1.7632718378384E-2</v>
      </c>
      <c r="P85" s="1">
        <f t="shared" si="26"/>
        <v>7.4325684105209225E-3</v>
      </c>
      <c r="Q85" s="1">
        <f t="shared" si="27"/>
        <v>-3.4312817288789078E-2</v>
      </c>
      <c r="R85" s="1">
        <f t="shared" si="28"/>
        <v>-1.0859598286433198E-3</v>
      </c>
      <c r="S85" s="1">
        <f t="shared" si="29"/>
        <v>-2.4364460563004564E-2</v>
      </c>
      <c r="T85" s="1">
        <f t="shared" si="30"/>
        <v>-1.0067296111501058E-2</v>
      </c>
      <c r="U85" s="1">
        <f t="shared" si="31"/>
        <v>-3.1051318401021212E-3</v>
      </c>
      <c r="V85" s="1">
        <f t="shared" si="32"/>
        <v>2.5049433622397101E-4</v>
      </c>
      <c r="W85" s="1">
        <f t="shared" si="33"/>
        <v>0.14242723171122129</v>
      </c>
      <c r="Y85" s="1">
        <f t="shared" si="34"/>
        <v>2.2840385145138274E-2</v>
      </c>
      <c r="Z85" s="1">
        <f t="shared" si="35"/>
        <v>1.5967759246076969E-2</v>
      </c>
      <c r="AA85" s="1">
        <f t="shared" si="36"/>
        <v>5.7676092782138911E-3</v>
      </c>
      <c r="AB85" s="1">
        <f t="shared" si="37"/>
        <v>-3.5977776421096112E-2</v>
      </c>
      <c r="AC85" s="1">
        <f t="shared" si="38"/>
        <v>-2.7509189609503512E-3</v>
      </c>
      <c r="AD85" s="1">
        <f t="shared" si="39"/>
        <v>-2.6029419695311595E-2</v>
      </c>
      <c r="AE85" s="1">
        <f t="shared" si="40"/>
        <v>-1.1732255243808089E-2</v>
      </c>
      <c r="AF85" s="1">
        <f t="shared" si="41"/>
        <v>-4.7700909724091526E-3</v>
      </c>
      <c r="AG85" s="1">
        <f t="shared" si="42"/>
        <v>-1.4144647960830602E-3</v>
      </c>
      <c r="AH85" s="1">
        <f t="shared" si="43"/>
        <v>0.14076227257891427</v>
      </c>
      <c r="AW85" s="28"/>
    </row>
    <row r="86" spans="1:49" x14ac:dyDescent="0.3">
      <c r="A86" s="120">
        <v>45411</v>
      </c>
      <c r="B86" s="121" t="s">
        <v>803</v>
      </c>
      <c r="C86" s="121" t="s">
        <v>804</v>
      </c>
      <c r="D86" s="121" t="s">
        <v>805</v>
      </c>
      <c r="E86" s="121" t="s">
        <v>806</v>
      </c>
      <c r="F86" s="121" t="s">
        <v>807</v>
      </c>
      <c r="G86" s="121" t="s">
        <v>808</v>
      </c>
      <c r="H86" s="121" t="s">
        <v>809</v>
      </c>
      <c r="I86" s="1">
        <v>559.489990234375</v>
      </c>
      <c r="J86" s="121" t="s">
        <v>810</v>
      </c>
      <c r="K86" s="121" t="s">
        <v>811</v>
      </c>
      <c r="M86" s="122">
        <v>45411</v>
      </c>
      <c r="N86" s="1">
        <f t="shared" si="24"/>
        <v>-1.8439887471533432E-2</v>
      </c>
      <c r="O86" s="1">
        <f t="shared" si="25"/>
        <v>-1.1425775972591331E-2</v>
      </c>
      <c r="P86" s="1">
        <f t="shared" si="26"/>
        <v>-3.3490075545682535E-2</v>
      </c>
      <c r="Q86" s="1">
        <f t="shared" si="27"/>
        <v>-2.0491357859697253E-2</v>
      </c>
      <c r="R86" s="1">
        <f t="shared" si="28"/>
        <v>-7.9995948236301195E-3</v>
      </c>
      <c r="S86" s="1">
        <f t="shared" si="29"/>
        <v>-5.6792090800576256E-3</v>
      </c>
      <c r="T86" s="1">
        <f t="shared" si="30"/>
        <v>-3.2646488421444672E-2</v>
      </c>
      <c r="U86" s="1">
        <f t="shared" si="31"/>
        <v>-1.5944372344084228E-2</v>
      </c>
      <c r="V86" s="1">
        <f t="shared" si="32"/>
        <v>-1.5560612955186447E-2</v>
      </c>
      <c r="W86" s="1">
        <f t="shared" si="33"/>
        <v>-5.7100842056651037E-2</v>
      </c>
      <c r="Y86" s="1">
        <f t="shared" si="34"/>
        <v>-2.0104846603840463E-2</v>
      </c>
      <c r="Z86" s="1">
        <f t="shared" si="35"/>
        <v>-1.3090735104898362E-2</v>
      </c>
      <c r="AA86" s="1">
        <f t="shared" si="36"/>
        <v>-3.5155034677989569E-2</v>
      </c>
      <c r="AB86" s="1">
        <f t="shared" si="37"/>
        <v>-2.2156316992004283E-2</v>
      </c>
      <c r="AC86" s="1">
        <f t="shared" si="38"/>
        <v>-9.66455395593715E-3</v>
      </c>
      <c r="AD86" s="1">
        <f t="shared" si="39"/>
        <v>-7.344168212364657E-3</v>
      </c>
      <c r="AE86" s="1">
        <f t="shared" si="40"/>
        <v>-3.4311447553751706E-2</v>
      </c>
      <c r="AF86" s="1">
        <f t="shared" si="41"/>
        <v>-1.7609331476391259E-2</v>
      </c>
      <c r="AG86" s="1">
        <f t="shared" si="42"/>
        <v>-1.7225572087493479E-2</v>
      </c>
      <c r="AH86" s="1">
        <f t="shared" si="43"/>
        <v>-5.8765801188958071E-2</v>
      </c>
      <c r="AW86" s="28"/>
    </row>
    <row r="87" spans="1:49" x14ac:dyDescent="0.3">
      <c r="A87" s="120">
        <v>45412</v>
      </c>
      <c r="B87" s="121" t="s">
        <v>812</v>
      </c>
      <c r="C87" s="121" t="s">
        <v>813</v>
      </c>
      <c r="D87" s="1">
        <v>175</v>
      </c>
      <c r="E87" s="121" t="s">
        <v>814</v>
      </c>
      <c r="F87" s="121" t="s">
        <v>815</v>
      </c>
      <c r="G87" s="121" t="s">
        <v>816</v>
      </c>
      <c r="H87" s="121" t="s">
        <v>817</v>
      </c>
      <c r="I87" s="121" t="s">
        <v>818</v>
      </c>
      <c r="J87" s="121" t="s">
        <v>819</v>
      </c>
      <c r="K87" s="121" t="s">
        <v>820</v>
      </c>
      <c r="M87" s="122">
        <v>45412</v>
      </c>
      <c r="N87" s="1">
        <f t="shared" si="24"/>
        <v>-6.065456805911828E-3</v>
      </c>
      <c r="O87" s="1">
        <f t="shared" si="25"/>
        <v>-9.3310666039977078E-2</v>
      </c>
      <c r="P87" s="1">
        <f t="shared" si="26"/>
        <v>2.2599831917240992E-2</v>
      </c>
      <c r="Q87" s="1">
        <f t="shared" si="27"/>
        <v>6.6127993650481878E-3</v>
      </c>
      <c r="R87" s="1">
        <f t="shared" si="28"/>
        <v>6.2561874725231318E-4</v>
      </c>
      <c r="S87" s="1">
        <f t="shared" si="29"/>
        <v>2.075157007388876E-2</v>
      </c>
      <c r="T87" s="1">
        <f t="shared" si="30"/>
        <v>1.4306569997900746E-2</v>
      </c>
      <c r="U87" s="1">
        <f t="shared" si="31"/>
        <v>1.9413210409025597E-3</v>
      </c>
      <c r="V87" s="1">
        <f t="shared" si="32"/>
        <v>-3.9676515740472068E-2</v>
      </c>
      <c r="W87" s="1">
        <f t="shared" si="33"/>
        <v>-1.8113707174256428E-2</v>
      </c>
      <c r="Y87" s="1">
        <f t="shared" si="34"/>
        <v>-7.7304159382188594E-3</v>
      </c>
      <c r="Z87" s="1">
        <f t="shared" si="35"/>
        <v>-9.4975625172284112E-2</v>
      </c>
      <c r="AA87" s="1">
        <f t="shared" si="36"/>
        <v>2.0934872784933962E-2</v>
      </c>
      <c r="AB87" s="1">
        <f t="shared" si="37"/>
        <v>4.9478402327411564E-3</v>
      </c>
      <c r="AC87" s="1">
        <f t="shared" si="38"/>
        <v>-1.0393403850547179E-3</v>
      </c>
      <c r="AD87" s="1">
        <f t="shared" si="39"/>
        <v>1.908661094158173E-2</v>
      </c>
      <c r="AE87" s="1">
        <f t="shared" si="40"/>
        <v>1.2641610865593716E-2</v>
      </c>
      <c r="AF87" s="1">
        <f t="shared" si="41"/>
        <v>2.763619085955286E-4</v>
      </c>
      <c r="AG87" s="1">
        <f t="shared" si="42"/>
        <v>-4.1341474872779102E-2</v>
      </c>
      <c r="AH87" s="1">
        <f t="shared" si="43"/>
        <v>-1.9778666306563459E-2</v>
      </c>
      <c r="AW87" s="28"/>
    </row>
    <row r="88" spans="1:49" x14ac:dyDescent="0.3">
      <c r="A88" s="120">
        <v>45413</v>
      </c>
      <c r="B88" s="121" t="s">
        <v>796</v>
      </c>
      <c r="C88" s="121" t="s">
        <v>821</v>
      </c>
      <c r="D88" s="1">
        <v>179</v>
      </c>
      <c r="E88" s="1">
        <v>163.080322265625</v>
      </c>
      <c r="F88" s="121" t="s">
        <v>822</v>
      </c>
      <c r="G88" s="121" t="s">
        <v>823</v>
      </c>
      <c r="H88" s="121" t="s">
        <v>824</v>
      </c>
      <c r="I88" s="121" t="s">
        <v>825</v>
      </c>
      <c r="J88" s="121" t="s">
        <v>826</v>
      </c>
      <c r="K88" s="121" t="s">
        <v>827</v>
      </c>
      <c r="M88" s="122">
        <v>45413</v>
      </c>
      <c r="N88" s="1">
        <f t="shared" si="24"/>
        <v>2.1792749175457711E-2</v>
      </c>
      <c r="O88" s="1">
        <f t="shared" si="25"/>
        <v>1.3015363553216558E-2</v>
      </c>
      <c r="P88" s="1">
        <f t="shared" si="26"/>
        <v>3.1455365813881531E-2</v>
      </c>
      <c r="Q88" s="1">
        <f t="shared" si="27"/>
        <v>1.670330134425212E-2</v>
      </c>
      <c r="R88" s="1">
        <f t="shared" si="28"/>
        <v>-1.0429694361054921E-3</v>
      </c>
      <c r="S88" s="1">
        <f t="shared" si="29"/>
        <v>5.6536039633625825E-3</v>
      </c>
      <c r="T88" s="1">
        <f t="shared" si="30"/>
        <v>7.3161220953794704E-3</v>
      </c>
      <c r="U88" s="1">
        <f t="shared" si="31"/>
        <v>2.4068640102422541E-2</v>
      </c>
      <c r="V88" s="1">
        <f t="shared" si="32"/>
        <v>3.2882719868590905E-2</v>
      </c>
      <c r="W88" s="1">
        <f t="shared" si="33"/>
        <v>1.1105007606413072E-4</v>
      </c>
      <c r="Y88" s="1">
        <f t="shared" si="34"/>
        <v>2.0127790043150681E-2</v>
      </c>
      <c r="Z88" s="1">
        <f t="shared" si="35"/>
        <v>1.1350404420909527E-2</v>
      </c>
      <c r="AA88" s="1">
        <f t="shared" si="36"/>
        <v>2.97904066815745E-2</v>
      </c>
      <c r="AB88" s="1">
        <f t="shared" si="37"/>
        <v>1.503834221194509E-2</v>
      </c>
      <c r="AC88" s="1">
        <f t="shared" si="38"/>
        <v>-2.7079285684125233E-3</v>
      </c>
      <c r="AD88" s="1">
        <f t="shared" si="39"/>
        <v>3.9886448310555512E-3</v>
      </c>
      <c r="AE88" s="1">
        <f t="shared" si="40"/>
        <v>5.651162963072439E-3</v>
      </c>
      <c r="AF88" s="1">
        <f t="shared" si="41"/>
        <v>2.2403680970115511E-2</v>
      </c>
      <c r="AG88" s="1">
        <f t="shared" si="42"/>
        <v>3.1217760736283875E-2</v>
      </c>
      <c r="AH88" s="1">
        <f t="shared" si="43"/>
        <v>-1.5539090562429003E-3</v>
      </c>
      <c r="AW88" s="28"/>
    </row>
    <row r="89" spans="1:49" x14ac:dyDescent="0.3">
      <c r="A89" s="120">
        <v>45414</v>
      </c>
      <c r="B89" s="121" t="s">
        <v>828</v>
      </c>
      <c r="C89" s="121" t="s">
        <v>829</v>
      </c>
      <c r="D89" s="121" t="s">
        <v>830</v>
      </c>
      <c r="E89" s="121" t="s">
        <v>831</v>
      </c>
      <c r="F89" s="121" t="s">
        <v>832</v>
      </c>
      <c r="G89" s="121" t="s">
        <v>833</v>
      </c>
      <c r="H89" s="121" t="s">
        <v>834</v>
      </c>
      <c r="I89" s="121" t="s">
        <v>835</v>
      </c>
      <c r="J89" s="121" t="s">
        <v>836</v>
      </c>
      <c r="K89" s="121" t="s">
        <v>837</v>
      </c>
      <c r="M89" s="122">
        <v>45414</v>
      </c>
      <c r="N89" s="1">
        <f t="shared" si="24"/>
        <v>5.8095440071176119E-2</v>
      </c>
      <c r="O89" s="1">
        <f t="shared" si="25"/>
        <v>2.9925418768549206E-2</v>
      </c>
      <c r="P89" s="1">
        <f t="shared" si="26"/>
        <v>8.0339334943852671E-3</v>
      </c>
      <c r="Q89" s="1">
        <f t="shared" si="27"/>
        <v>3.7142293663306133E-3</v>
      </c>
      <c r="R89" s="1">
        <f t="shared" si="28"/>
        <v>-6.0182966396023349E-3</v>
      </c>
      <c r="S89" s="1">
        <f t="shared" si="29"/>
        <v>2.3007931094358315E-2</v>
      </c>
      <c r="T89" s="1">
        <f t="shared" si="30"/>
        <v>2.1927468047070121E-2</v>
      </c>
      <c r="U89" s="1">
        <f t="shared" si="31"/>
        <v>2.4798345090158321E-2</v>
      </c>
      <c r="V89" s="1">
        <f t="shared" si="32"/>
        <v>3.4045644195855027E-2</v>
      </c>
      <c r="W89" s="1">
        <f t="shared" si="33"/>
        <v>6.5338435355780065E-3</v>
      </c>
      <c r="Y89" s="1">
        <f t="shared" si="34"/>
        <v>5.6430480938869085E-2</v>
      </c>
      <c r="Z89" s="1">
        <f t="shared" si="35"/>
        <v>2.8260459636242175E-2</v>
      </c>
      <c r="AA89" s="1">
        <f t="shared" si="36"/>
        <v>6.3689743620782358E-3</v>
      </c>
      <c r="AB89" s="1">
        <f t="shared" si="37"/>
        <v>2.0492702340235824E-3</v>
      </c>
      <c r="AC89" s="1">
        <f t="shared" si="38"/>
        <v>-7.6832557719093662E-3</v>
      </c>
      <c r="AD89" s="1">
        <f t="shared" si="39"/>
        <v>2.1342971962051285E-2</v>
      </c>
      <c r="AE89" s="1">
        <f t="shared" si="40"/>
        <v>2.026250891476309E-2</v>
      </c>
      <c r="AF89" s="1">
        <f t="shared" si="41"/>
        <v>2.3133385957851291E-2</v>
      </c>
      <c r="AG89" s="1">
        <f t="shared" si="42"/>
        <v>3.2380685063547993E-2</v>
      </c>
      <c r="AH89" s="1">
        <f t="shared" si="43"/>
        <v>4.8688844032709752E-3</v>
      </c>
      <c r="AW89" s="28"/>
    </row>
    <row r="90" spans="1:49" x14ac:dyDescent="0.3">
      <c r="A90" s="120">
        <v>45415</v>
      </c>
      <c r="B90" s="121" t="s">
        <v>838</v>
      </c>
      <c r="C90" s="121" t="s">
        <v>839</v>
      </c>
      <c r="D90" s="121" t="s">
        <v>840</v>
      </c>
      <c r="E90" s="121" t="s">
        <v>841</v>
      </c>
      <c r="F90" s="121" t="s">
        <v>842</v>
      </c>
      <c r="G90" s="121" t="s">
        <v>843</v>
      </c>
      <c r="H90" s="121" t="s">
        <v>844</v>
      </c>
      <c r="I90" s="121" t="s">
        <v>845</v>
      </c>
      <c r="J90" s="121" t="s">
        <v>846</v>
      </c>
      <c r="K90" s="121" t="s">
        <v>847</v>
      </c>
      <c r="M90" s="122">
        <v>45415</v>
      </c>
      <c r="N90" s="1">
        <f t="shared" si="24"/>
        <v>-9.1484285631301277E-3</v>
      </c>
      <c r="O90" s="1">
        <f t="shared" si="25"/>
        <v>3.3817391761945412E-2</v>
      </c>
      <c r="P90" s="1">
        <f t="shared" si="26"/>
        <v>1.3283331052944075E-2</v>
      </c>
      <c r="Q90" s="1">
        <f t="shared" si="27"/>
        <v>5.129153515551179E-3</v>
      </c>
      <c r="R90" s="1">
        <f t="shared" si="28"/>
        <v>7.7906737428646636E-3</v>
      </c>
      <c r="S90" s="1">
        <f t="shared" si="29"/>
        <v>2.9905036348554001E-2</v>
      </c>
      <c r="T90" s="1">
        <f t="shared" si="30"/>
        <v>1.6776887284340101E-2</v>
      </c>
      <c r="U90" s="1">
        <f t="shared" si="31"/>
        <v>2.9977240871566248E-2</v>
      </c>
      <c r="V90" s="1">
        <f t="shared" si="32"/>
        <v>3.7046308659036291E-2</v>
      </c>
      <c r="W90" s="1">
        <f t="shared" si="33"/>
        <v>1.9511437908747431E-2</v>
      </c>
      <c r="Y90" s="1">
        <f t="shared" si="34"/>
        <v>-1.0813387695437158E-2</v>
      </c>
      <c r="Z90" s="1">
        <f t="shared" si="35"/>
        <v>3.2152432629638378E-2</v>
      </c>
      <c r="AA90" s="1">
        <f t="shared" si="36"/>
        <v>1.1618371920637045E-2</v>
      </c>
      <c r="AB90" s="1">
        <f t="shared" si="37"/>
        <v>3.4641943832441477E-3</v>
      </c>
      <c r="AC90" s="1">
        <f t="shared" si="38"/>
        <v>6.1257146105576322E-3</v>
      </c>
      <c r="AD90" s="1">
        <f t="shared" si="39"/>
        <v>2.8240077216246971E-2</v>
      </c>
      <c r="AE90" s="1">
        <f t="shared" si="40"/>
        <v>1.511192815203307E-2</v>
      </c>
      <c r="AF90" s="1">
        <f t="shared" si="41"/>
        <v>2.8312281739259218E-2</v>
      </c>
      <c r="AG90" s="1">
        <f t="shared" si="42"/>
        <v>3.5381349526729257E-2</v>
      </c>
      <c r="AH90" s="1">
        <f t="shared" si="43"/>
        <v>1.7846478776440401E-2</v>
      </c>
      <c r="AW90" s="28"/>
    </row>
    <row r="91" spans="1:49" x14ac:dyDescent="0.3">
      <c r="A91" s="120">
        <v>45418</v>
      </c>
      <c r="B91" s="121" t="s">
        <v>848</v>
      </c>
      <c r="C91" s="121" t="s">
        <v>849</v>
      </c>
      <c r="D91" s="121" t="s">
        <v>850</v>
      </c>
      <c r="E91" s="121" t="s">
        <v>851</v>
      </c>
      <c r="F91" s="121" t="s">
        <v>852</v>
      </c>
      <c r="G91" s="1">
        <v>463.9873046875</v>
      </c>
      <c r="H91" s="121" t="s">
        <v>853</v>
      </c>
      <c r="I91" s="1">
        <v>596.969970703125</v>
      </c>
      <c r="J91" s="121" t="s">
        <v>854</v>
      </c>
      <c r="K91" s="121" t="s">
        <v>855</v>
      </c>
      <c r="M91" s="122">
        <v>45418</v>
      </c>
      <c r="N91" s="1">
        <f t="shared" si="24"/>
        <v>3.7901247762425067E-3</v>
      </c>
      <c r="O91" s="1">
        <f t="shared" si="25"/>
        <v>-8.7038758482537899E-3</v>
      </c>
      <c r="P91" s="1">
        <f t="shared" si="26"/>
        <v>3.1790155490120527E-4</v>
      </c>
      <c r="Q91" s="1">
        <f t="shared" si="27"/>
        <v>1.8565335029667562E-2</v>
      </c>
      <c r="R91" s="1">
        <f t="shared" si="28"/>
        <v>-1.3029102850960819E-3</v>
      </c>
      <c r="S91" s="1">
        <f t="shared" si="29"/>
        <v>5.4822713327263295E-3</v>
      </c>
      <c r="T91" s="1">
        <f t="shared" si="30"/>
        <v>-1.0208150123643544E-2</v>
      </c>
      <c r="U91" s="1">
        <f t="shared" si="31"/>
        <v>1.5013174271590286E-2</v>
      </c>
      <c r="V91" s="1">
        <f t="shared" si="32"/>
        <v>-1.7362726681635143E-2</v>
      </c>
      <c r="W91" s="1">
        <f t="shared" si="33"/>
        <v>-3.834210509361926E-2</v>
      </c>
      <c r="Y91" s="1">
        <f t="shared" si="34"/>
        <v>2.1251656439354753E-3</v>
      </c>
      <c r="Z91" s="1">
        <f t="shared" si="35"/>
        <v>-1.036883498056082E-2</v>
      </c>
      <c r="AA91" s="1">
        <f t="shared" si="36"/>
        <v>-1.3470575774058259E-3</v>
      </c>
      <c r="AB91" s="1">
        <f t="shared" si="37"/>
        <v>1.6900375897360532E-2</v>
      </c>
      <c r="AC91" s="1">
        <f t="shared" si="38"/>
        <v>-2.9678694174031131E-3</v>
      </c>
      <c r="AD91" s="1">
        <f t="shared" si="39"/>
        <v>3.8173122004192981E-3</v>
      </c>
      <c r="AE91" s="1">
        <f t="shared" si="40"/>
        <v>-1.1873109255950575E-2</v>
      </c>
      <c r="AF91" s="1">
        <f t="shared" si="41"/>
        <v>1.3348215139283255E-2</v>
      </c>
      <c r="AG91" s="1">
        <f t="shared" si="42"/>
        <v>-1.9027685813942173E-2</v>
      </c>
      <c r="AH91" s="1">
        <f t="shared" si="43"/>
        <v>-4.0007064225926293E-2</v>
      </c>
      <c r="AW91" s="28"/>
    </row>
    <row r="92" spans="1:49" x14ac:dyDescent="0.3">
      <c r="A92" s="120">
        <v>45419</v>
      </c>
      <c r="B92" s="121" t="s">
        <v>856</v>
      </c>
      <c r="C92" s="121" t="s">
        <v>857</v>
      </c>
      <c r="D92" s="121" t="s">
        <v>858</v>
      </c>
      <c r="E92" s="121" t="s">
        <v>859</v>
      </c>
      <c r="F92" s="121" t="s">
        <v>860</v>
      </c>
      <c r="G92" s="121" t="s">
        <v>861</v>
      </c>
      <c r="H92" s="1">
        <v>406.238525390625</v>
      </c>
      <c r="I92" s="1">
        <v>606</v>
      </c>
      <c r="J92" s="121" t="s">
        <v>862</v>
      </c>
      <c r="K92" s="121" t="s">
        <v>863</v>
      </c>
      <c r="M92" s="122">
        <v>45419</v>
      </c>
      <c r="N92" s="1">
        <f t="shared" si="24"/>
        <v>1.8622560237392478E-3</v>
      </c>
      <c r="O92" s="1">
        <f t="shared" si="25"/>
        <v>-5.2588830219452796E-3</v>
      </c>
      <c r="P92" s="1">
        <f t="shared" si="26"/>
        <v>-4.0343749269179507E-3</v>
      </c>
      <c r="Q92" s="1">
        <f t="shared" si="27"/>
        <v>-1.0979658318386831E-2</v>
      </c>
      <c r="R92" s="1">
        <f t="shared" si="28"/>
        <v>2.0134928303886638E-2</v>
      </c>
      <c r="S92" s="1">
        <f t="shared" si="29"/>
        <v>9.2684337333630226E-3</v>
      </c>
      <c r="T92" s="1">
        <f t="shared" si="30"/>
        <v>2.9272845064640487E-3</v>
      </c>
      <c r="U92" s="1">
        <f t="shared" si="31"/>
        <v>5.7096928985218452E-3</v>
      </c>
      <c r="V92" s="1">
        <f t="shared" si="32"/>
        <v>-1.5693466015581771E-3</v>
      </c>
      <c r="W92" s="1">
        <f t="shared" si="33"/>
        <v>-1.7530851194266138E-2</v>
      </c>
      <c r="Y92" s="1">
        <f t="shared" si="34"/>
        <v>1.9729689143221669E-4</v>
      </c>
      <c r="Z92" s="1">
        <f t="shared" si="35"/>
        <v>-6.9238421542523109E-3</v>
      </c>
      <c r="AA92" s="1">
        <f t="shared" si="36"/>
        <v>-5.699334059224982E-3</v>
      </c>
      <c r="AB92" s="1">
        <f t="shared" si="37"/>
        <v>-1.2644617450693861E-2</v>
      </c>
      <c r="AC92" s="1">
        <f t="shared" si="38"/>
        <v>1.8469969171579607E-2</v>
      </c>
      <c r="AD92" s="1">
        <f t="shared" si="39"/>
        <v>7.6034746010559913E-3</v>
      </c>
      <c r="AE92" s="1">
        <f t="shared" si="40"/>
        <v>1.2623253741570176E-3</v>
      </c>
      <c r="AF92" s="1">
        <f t="shared" si="41"/>
        <v>4.0447337662148138E-3</v>
      </c>
      <c r="AG92" s="1">
        <f t="shared" si="42"/>
        <v>-3.234305733865208E-3</v>
      </c>
      <c r="AH92" s="1">
        <f t="shared" si="43"/>
        <v>-1.9195810326573168E-2</v>
      </c>
      <c r="AW92" s="28"/>
    </row>
    <row r="93" spans="1:49" x14ac:dyDescent="0.3">
      <c r="A93" s="120">
        <v>45420</v>
      </c>
      <c r="B93" s="121" t="s">
        <v>864</v>
      </c>
      <c r="C93" s="121" t="s">
        <v>865</v>
      </c>
      <c r="D93" s="1">
        <v>188</v>
      </c>
      <c r="E93" s="121" t="s">
        <v>866</v>
      </c>
      <c r="F93" s="121" t="s">
        <v>658</v>
      </c>
      <c r="G93" s="121" t="s">
        <v>867</v>
      </c>
      <c r="H93" s="1">
        <v>407.429443359375</v>
      </c>
      <c r="I93" s="1">
        <v>609.469970703125</v>
      </c>
      <c r="J93" s="1">
        <v>90.382301330566406</v>
      </c>
      <c r="K93" s="121" t="s">
        <v>868</v>
      </c>
      <c r="M93" s="122">
        <v>45420</v>
      </c>
      <c r="N93" s="1">
        <f t="shared" si="24"/>
        <v>9.9644798114765475E-3</v>
      </c>
      <c r="O93" s="1">
        <f t="shared" si="25"/>
        <v>-8.0389684889545666E-3</v>
      </c>
      <c r="P93" s="1">
        <f t="shared" si="26"/>
        <v>7.9470616925319398E-3</v>
      </c>
      <c r="Q93" s="1">
        <f t="shared" si="27"/>
        <v>3.4184020489085262E-3</v>
      </c>
      <c r="R93" s="1">
        <f t="shared" si="28"/>
        <v>9.4112065707854034E-3</v>
      </c>
      <c r="S93" s="1">
        <f t="shared" si="29"/>
        <v>5.9493313276837156E-3</v>
      </c>
      <c r="T93" s="1">
        <f t="shared" si="30"/>
        <v>4.3262977627724951E-3</v>
      </c>
      <c r="U93" s="1">
        <f t="shared" si="31"/>
        <v>4.2896954309608517E-3</v>
      </c>
      <c r="V93" s="1">
        <f t="shared" si="32"/>
        <v>-1.8587360311185332E-2</v>
      </c>
      <c r="W93" s="1">
        <f t="shared" si="33"/>
        <v>-1.5864649448707926E-2</v>
      </c>
      <c r="Y93" s="1">
        <f t="shared" si="34"/>
        <v>8.299520679169517E-3</v>
      </c>
      <c r="Z93" s="1">
        <f t="shared" si="35"/>
        <v>-9.7039276212615971E-3</v>
      </c>
      <c r="AA93" s="1">
        <f t="shared" si="36"/>
        <v>6.2821025602249085E-3</v>
      </c>
      <c r="AB93" s="1">
        <f t="shared" si="37"/>
        <v>1.753442916601495E-3</v>
      </c>
      <c r="AC93" s="1">
        <f t="shared" si="38"/>
        <v>7.746247438478372E-3</v>
      </c>
      <c r="AD93" s="1">
        <f t="shared" si="39"/>
        <v>4.2843721953766843E-3</v>
      </c>
      <c r="AE93" s="1">
        <f t="shared" si="40"/>
        <v>2.6613386304654638E-3</v>
      </c>
      <c r="AF93" s="1">
        <f t="shared" si="41"/>
        <v>2.6247362986538203E-3</v>
      </c>
      <c r="AG93" s="1">
        <f t="shared" si="42"/>
        <v>-2.0252319443492362E-2</v>
      </c>
      <c r="AH93" s="1">
        <f t="shared" si="43"/>
        <v>-1.7529608581014957E-2</v>
      </c>
      <c r="AW93" s="28"/>
    </row>
    <row r="94" spans="1:49" x14ac:dyDescent="0.3">
      <c r="A94" s="120">
        <v>45421</v>
      </c>
      <c r="B94" s="121" t="s">
        <v>869</v>
      </c>
      <c r="C94" s="121" t="s">
        <v>870</v>
      </c>
      <c r="D94" s="1">
        <v>189.5</v>
      </c>
      <c r="E94" s="121" t="s">
        <v>871</v>
      </c>
      <c r="F94" s="121" t="s">
        <v>872</v>
      </c>
      <c r="G94" s="121" t="s">
        <v>873</v>
      </c>
      <c r="H94" s="121" t="s">
        <v>874</v>
      </c>
      <c r="I94" s="121" t="s">
        <v>875</v>
      </c>
      <c r="J94" s="121" t="s">
        <v>876</v>
      </c>
      <c r="K94" s="121" t="s">
        <v>877</v>
      </c>
      <c r="M94" s="122">
        <v>45421</v>
      </c>
      <c r="N94" s="1">
        <f t="shared" si="24"/>
        <v>-6.9141272339860969E-3</v>
      </c>
      <c r="O94" s="1">
        <f t="shared" si="25"/>
        <v>-3.0889658452999528E-3</v>
      </c>
      <c r="P94" s="1">
        <f t="shared" si="26"/>
        <v>-1.0716874256865372E-2</v>
      </c>
      <c r="Q94" s="1">
        <f t="shared" si="27"/>
        <v>-7.7376752642553176E-3</v>
      </c>
      <c r="R94" s="1">
        <f t="shared" si="28"/>
        <v>6.4098531421723972E-3</v>
      </c>
      <c r="S94" s="1">
        <f t="shared" si="29"/>
        <v>1.6393012573558006E-3</v>
      </c>
      <c r="T94" s="1">
        <f t="shared" si="30"/>
        <v>5.8520169471064382E-3</v>
      </c>
      <c r="U94" s="1">
        <f t="shared" si="31"/>
        <v>-1.9952118157473527E-3</v>
      </c>
      <c r="V94" s="1">
        <f t="shared" si="32"/>
        <v>1.2663507410624017E-2</v>
      </c>
      <c r="W94" s="1">
        <f t="shared" si="33"/>
        <v>-2.0562350450525728E-2</v>
      </c>
      <c r="Y94" s="1">
        <f t="shared" si="34"/>
        <v>-8.5790863662931274E-3</v>
      </c>
      <c r="Z94" s="1">
        <f t="shared" si="35"/>
        <v>-4.7539249776069837E-3</v>
      </c>
      <c r="AA94" s="1">
        <f t="shared" si="36"/>
        <v>-1.2381833389172403E-2</v>
      </c>
      <c r="AB94" s="1">
        <f t="shared" si="37"/>
        <v>-9.4026343965623489E-3</v>
      </c>
      <c r="AC94" s="1">
        <f t="shared" si="38"/>
        <v>4.7448940098653658E-3</v>
      </c>
      <c r="AD94" s="1">
        <f t="shared" si="39"/>
        <v>-2.5657874951230501E-5</v>
      </c>
      <c r="AE94" s="1">
        <f t="shared" si="40"/>
        <v>4.1870578147994069E-3</v>
      </c>
      <c r="AF94" s="1">
        <f t="shared" si="41"/>
        <v>-3.660170948054384E-3</v>
      </c>
      <c r="AG94" s="1">
        <f t="shared" si="42"/>
        <v>1.0998548278316986E-2</v>
      </c>
      <c r="AH94" s="1">
        <f t="shared" si="43"/>
        <v>-2.2227309582832758E-2</v>
      </c>
      <c r="AW94" s="28"/>
    </row>
    <row r="95" spans="1:49" x14ac:dyDescent="0.3">
      <c r="A95" s="120">
        <v>45422</v>
      </c>
      <c r="B95" s="121" t="s">
        <v>878</v>
      </c>
      <c r="C95" s="121" t="s">
        <v>879</v>
      </c>
      <c r="D95" s="121" t="s">
        <v>880</v>
      </c>
      <c r="E95" s="121" t="s">
        <v>881</v>
      </c>
      <c r="F95" s="121" t="s">
        <v>882</v>
      </c>
      <c r="G95" s="121" t="s">
        <v>883</v>
      </c>
      <c r="H95" s="121" t="s">
        <v>884</v>
      </c>
      <c r="I95" s="121" t="s">
        <v>885</v>
      </c>
      <c r="J95" s="121" t="s">
        <v>886</v>
      </c>
      <c r="K95" s="121" t="s">
        <v>887</v>
      </c>
      <c r="M95" s="122">
        <v>45422</v>
      </c>
      <c r="N95" s="1">
        <f t="shared" si="24"/>
        <v>1.7491642763163433E-2</v>
      </c>
      <c r="O95" s="1">
        <f t="shared" si="25"/>
        <v>-8.9923948297116248E-3</v>
      </c>
      <c r="P95" s="1">
        <f t="shared" si="26"/>
        <v>-4.8656072244970226E-3</v>
      </c>
      <c r="Q95" s="1">
        <f t="shared" si="27"/>
        <v>2.9011367398551658E-3</v>
      </c>
      <c r="R95" s="1">
        <f t="shared" si="28"/>
        <v>-2.0135135008405089E-4</v>
      </c>
      <c r="S95" s="1">
        <f t="shared" si="29"/>
        <v>-1.7348306607261131E-2</v>
      </c>
      <c r="T95" s="1">
        <f t="shared" si="30"/>
        <v>-2.4623184702606787E-3</v>
      </c>
      <c r="U95" s="1">
        <f t="shared" si="31"/>
        <v>9.3201783227987185E-3</v>
      </c>
      <c r="V95" s="1">
        <f t="shared" si="32"/>
        <v>5.7800881072808232E-3</v>
      </c>
      <c r="W95" s="1">
        <f t="shared" si="33"/>
        <v>2.0097034145305556E-2</v>
      </c>
      <c r="Y95" s="1">
        <f t="shared" si="34"/>
        <v>1.5826683630856403E-2</v>
      </c>
      <c r="Z95" s="1">
        <f t="shared" si="35"/>
        <v>-1.0657353962018655E-2</v>
      </c>
      <c r="AA95" s="1">
        <f t="shared" si="36"/>
        <v>-6.530566356804054E-3</v>
      </c>
      <c r="AB95" s="1">
        <f t="shared" si="37"/>
        <v>1.2361776075481346E-3</v>
      </c>
      <c r="AC95" s="1">
        <f t="shared" si="38"/>
        <v>-1.8663104823910821E-3</v>
      </c>
      <c r="AD95" s="1">
        <f t="shared" si="39"/>
        <v>-1.9013265739568162E-2</v>
      </c>
      <c r="AE95" s="1">
        <f t="shared" si="40"/>
        <v>-4.1272776025677096E-3</v>
      </c>
      <c r="AF95" s="1">
        <f t="shared" si="41"/>
        <v>7.6552191904916871E-3</v>
      </c>
      <c r="AG95" s="1">
        <f t="shared" si="42"/>
        <v>4.1151289749737918E-3</v>
      </c>
      <c r="AH95" s="1">
        <f t="shared" si="43"/>
        <v>1.8432075012998525E-2</v>
      </c>
      <c r="AW95" s="28"/>
    </row>
    <row r="96" spans="1:49" x14ac:dyDescent="0.3">
      <c r="A96" s="120">
        <v>45425</v>
      </c>
      <c r="B96" s="121" t="s">
        <v>888</v>
      </c>
      <c r="C96" s="121" t="s">
        <v>889</v>
      </c>
      <c r="D96" s="121" t="s">
        <v>890</v>
      </c>
      <c r="E96" s="121" t="s">
        <v>891</v>
      </c>
      <c r="F96" s="121" t="s">
        <v>892</v>
      </c>
      <c r="G96" s="121" t="s">
        <v>893</v>
      </c>
      <c r="H96" s="121" t="s">
        <v>894</v>
      </c>
      <c r="I96" s="121" t="s">
        <v>895</v>
      </c>
      <c r="J96" s="121" t="s">
        <v>896</v>
      </c>
      <c r="K96" s="121" t="s">
        <v>897</v>
      </c>
      <c r="M96" s="122">
        <v>45425</v>
      </c>
      <c r="N96" s="1">
        <f t="shared" si="24"/>
        <v>6.1544464400904997E-3</v>
      </c>
      <c r="O96" s="1">
        <f t="shared" si="25"/>
        <v>1.7121490897881533E-2</v>
      </c>
      <c r="P96" s="1">
        <f t="shared" si="26"/>
        <v>2.676374471979152E-3</v>
      </c>
      <c r="Q96" s="1">
        <f t="shared" si="27"/>
        <v>7.0697563553501703E-3</v>
      </c>
      <c r="R96" s="1">
        <f t="shared" si="28"/>
        <v>1.389186761834155E-2</v>
      </c>
      <c r="S96" s="1">
        <f t="shared" si="29"/>
        <v>8.1714263167671115E-3</v>
      </c>
      <c r="T96" s="1">
        <f t="shared" si="30"/>
        <v>6.8410912601845749E-3</v>
      </c>
      <c r="U96" s="1">
        <f t="shared" si="31"/>
        <v>-4.7633558237273835E-3</v>
      </c>
      <c r="V96" s="1">
        <f t="shared" si="32"/>
        <v>1.0530781399015979E-2</v>
      </c>
      <c r="W96" s="1">
        <f t="shared" si="33"/>
        <v>3.2397542788015606E-2</v>
      </c>
      <c r="Y96" s="1">
        <f t="shared" si="34"/>
        <v>4.4894873077834683E-3</v>
      </c>
      <c r="Z96" s="1">
        <f t="shared" si="35"/>
        <v>1.5456531765574502E-2</v>
      </c>
      <c r="AA96" s="1">
        <f t="shared" si="36"/>
        <v>1.0114153396721208E-3</v>
      </c>
      <c r="AB96" s="1">
        <f t="shared" si="37"/>
        <v>5.4047972230431389E-3</v>
      </c>
      <c r="AC96" s="1">
        <f t="shared" si="38"/>
        <v>1.222690848603452E-2</v>
      </c>
      <c r="AD96" s="1">
        <f t="shared" si="39"/>
        <v>6.5064671844600802E-3</v>
      </c>
      <c r="AE96" s="1">
        <f t="shared" si="40"/>
        <v>5.1761321278775436E-3</v>
      </c>
      <c r="AF96" s="1">
        <f t="shared" si="41"/>
        <v>-6.4283149560344149E-3</v>
      </c>
      <c r="AG96" s="1">
        <f t="shared" si="42"/>
        <v>8.865822266708949E-3</v>
      </c>
      <c r="AH96" s="1">
        <f t="shared" si="43"/>
        <v>3.0732583655708575E-2</v>
      </c>
      <c r="AW96" s="28"/>
    </row>
    <row r="97" spans="1:49" x14ac:dyDescent="0.3">
      <c r="A97" s="120">
        <v>45426</v>
      </c>
      <c r="B97" s="121" t="s">
        <v>898</v>
      </c>
      <c r="C97" s="121" t="s">
        <v>165</v>
      </c>
      <c r="D97" s="121" t="s">
        <v>899</v>
      </c>
      <c r="E97" s="121" t="s">
        <v>900</v>
      </c>
      <c r="F97" s="121" t="s">
        <v>901</v>
      </c>
      <c r="G97" s="121" t="s">
        <v>902</v>
      </c>
      <c r="H97" s="1">
        <v>413.40380859375</v>
      </c>
      <c r="I97" s="121" t="s">
        <v>903</v>
      </c>
      <c r="J97" s="121" t="s">
        <v>904</v>
      </c>
      <c r="K97" s="121" t="s">
        <v>905</v>
      </c>
      <c r="M97" s="122">
        <v>45426</v>
      </c>
      <c r="N97" s="1">
        <f t="shared" si="24"/>
        <v>1.214388051911381E-2</v>
      </c>
      <c r="O97" s="1">
        <f t="shared" si="25"/>
        <v>4.1626023364421727E-2</v>
      </c>
      <c r="P97" s="1">
        <f t="shared" si="26"/>
        <v>-5.7899791513349843E-3</v>
      </c>
      <c r="Q97" s="1">
        <f t="shared" si="27"/>
        <v>1.265881633702237E-2</v>
      </c>
      <c r="R97" s="1">
        <f t="shared" si="28"/>
        <v>2.9731697146423127E-3</v>
      </c>
      <c r="S97" s="1">
        <f t="shared" si="29"/>
        <v>2.0328177687800073E-2</v>
      </c>
      <c r="T97" s="1">
        <f t="shared" si="30"/>
        <v>1.7332874409992201E-2</v>
      </c>
      <c r="U97" s="1">
        <f t="shared" si="31"/>
        <v>-2.2808979077733449E-4</v>
      </c>
      <c r="V97" s="1">
        <f t="shared" si="32"/>
        <v>3.5210363311135522E-2</v>
      </c>
      <c r="W97" s="1">
        <f t="shared" si="33"/>
        <v>-2.0254418706905267E-2</v>
      </c>
      <c r="Y97" s="1">
        <f t="shared" si="34"/>
        <v>1.047892138680678E-2</v>
      </c>
      <c r="Z97" s="1">
        <f t="shared" si="35"/>
        <v>3.9961064232114693E-2</v>
      </c>
      <c r="AA97" s="1">
        <f t="shared" si="36"/>
        <v>-7.4549382836420156E-3</v>
      </c>
      <c r="AB97" s="1">
        <f t="shared" si="37"/>
        <v>1.0993857204715339E-2</v>
      </c>
      <c r="AC97" s="1">
        <f t="shared" si="38"/>
        <v>1.3082105823352815E-3</v>
      </c>
      <c r="AD97" s="1">
        <f t="shared" si="39"/>
        <v>1.8663218555493043E-2</v>
      </c>
      <c r="AE97" s="1">
        <f t="shared" si="40"/>
        <v>1.5667915277685171E-2</v>
      </c>
      <c r="AF97" s="1">
        <f t="shared" si="41"/>
        <v>-1.8930489230843657E-3</v>
      </c>
      <c r="AG97" s="1">
        <f t="shared" si="42"/>
        <v>3.3545404178828488E-2</v>
      </c>
      <c r="AH97" s="1">
        <f t="shared" si="43"/>
        <v>-2.1919377839212297E-2</v>
      </c>
      <c r="AW97" s="28"/>
    </row>
    <row r="98" spans="1:49" x14ac:dyDescent="0.3">
      <c r="A98" s="120">
        <v>45427</v>
      </c>
      <c r="B98" s="121" t="s">
        <v>906</v>
      </c>
      <c r="C98" s="121" t="s">
        <v>907</v>
      </c>
      <c r="D98" s="121" t="s">
        <v>908</v>
      </c>
      <c r="E98" s="121" t="s">
        <v>909</v>
      </c>
      <c r="F98" s="1">
        <v>198.74560546875</v>
      </c>
      <c r="G98" s="121" t="s">
        <v>910</v>
      </c>
      <c r="H98" s="121" t="s">
        <v>911</v>
      </c>
      <c r="I98" s="1">
        <v>613.52001953125</v>
      </c>
      <c r="J98" s="1">
        <v>94.598899841308594</v>
      </c>
      <c r="K98" s="121" t="s">
        <v>912</v>
      </c>
      <c r="M98" s="122">
        <v>45427</v>
      </c>
      <c r="N98" s="1">
        <f t="shared" si="24"/>
        <v>6.3231295449763447E-4</v>
      </c>
      <c r="O98" s="1">
        <f t="shared" si="25"/>
        <v>1.8306986869920036E-2</v>
      </c>
      <c r="P98" s="1">
        <f t="shared" si="26"/>
        <v>-1.2770048240183173E-2</v>
      </c>
      <c r="Q98" s="1">
        <f t="shared" si="27"/>
        <v>9.6339218880831558E-3</v>
      </c>
      <c r="R98" s="1">
        <f t="shared" si="28"/>
        <v>1.7796066734975784E-3</v>
      </c>
      <c r="S98" s="1">
        <f t="shared" si="29"/>
        <v>-1.7407818460798218E-2</v>
      </c>
      <c r="T98" s="1">
        <f t="shared" si="30"/>
        <v>-4.9522195794848576E-3</v>
      </c>
      <c r="U98" s="1">
        <f t="shared" si="31"/>
        <v>-4.9018102532516362E-3</v>
      </c>
      <c r="V98" s="1">
        <f t="shared" si="32"/>
        <v>-2.8677450728470432E-3</v>
      </c>
      <c r="W98" s="1">
        <f t="shared" si="33"/>
        <v>4.8733911792737047E-3</v>
      </c>
      <c r="Y98" s="1">
        <f t="shared" si="34"/>
        <v>-1.0326461778093967E-3</v>
      </c>
      <c r="Z98" s="1">
        <f t="shared" si="35"/>
        <v>1.6642027737613006E-2</v>
      </c>
      <c r="AA98" s="1">
        <f t="shared" si="36"/>
        <v>-1.4435007372490203E-2</v>
      </c>
      <c r="AB98" s="1">
        <f t="shared" si="37"/>
        <v>7.9689627557761253E-3</v>
      </c>
      <c r="AC98" s="1">
        <f t="shared" si="38"/>
        <v>1.1464754119054729E-4</v>
      </c>
      <c r="AD98" s="1">
        <f t="shared" si="39"/>
        <v>-1.9072777593105248E-2</v>
      </c>
      <c r="AE98" s="1">
        <f t="shared" si="40"/>
        <v>-6.6171787117918889E-3</v>
      </c>
      <c r="AF98" s="1">
        <f t="shared" si="41"/>
        <v>-6.5667693855586675E-3</v>
      </c>
      <c r="AG98" s="1">
        <f t="shared" si="42"/>
        <v>-4.5327042051540745E-3</v>
      </c>
      <c r="AH98" s="1">
        <f t="shared" si="43"/>
        <v>3.2084320469666734E-3</v>
      </c>
      <c r="AW98" s="28"/>
    </row>
    <row r="99" spans="1:49" x14ac:dyDescent="0.3">
      <c r="A99" s="120">
        <v>45428</v>
      </c>
      <c r="B99" s="1">
        <v>189.2041015625</v>
      </c>
      <c r="C99" s="121" t="s">
        <v>913</v>
      </c>
      <c r="D99" s="121" t="s">
        <v>914</v>
      </c>
      <c r="E99" s="121" t="s">
        <v>915</v>
      </c>
      <c r="F99" s="1">
        <v>199.099609375</v>
      </c>
      <c r="G99" s="121" t="s">
        <v>916</v>
      </c>
      <c r="H99" s="121" t="s">
        <v>917</v>
      </c>
      <c r="I99" s="1">
        <v>610.52001953125</v>
      </c>
      <c r="J99" s="1">
        <v>94.3280029296875</v>
      </c>
      <c r="K99" s="121" t="s">
        <v>918</v>
      </c>
      <c r="M99" s="122">
        <v>45428</v>
      </c>
      <c r="N99" s="1">
        <f t="shared" si="24"/>
        <v>1.5805610379188959E-4</v>
      </c>
      <c r="O99" s="1">
        <f t="shared" si="25"/>
        <v>1.1312029421434278E-2</v>
      </c>
      <c r="P99" s="1">
        <f t="shared" si="26"/>
        <v>5.8099805608316209E-3</v>
      </c>
      <c r="Q99" s="1">
        <f t="shared" si="27"/>
        <v>1.0735736466275079E-2</v>
      </c>
      <c r="R99" s="1">
        <f t="shared" si="28"/>
        <v>1.1393294959887773E-2</v>
      </c>
      <c r="S99" s="1">
        <f t="shared" si="29"/>
        <v>-2.7932039439744821E-3</v>
      </c>
      <c r="T99" s="1">
        <f t="shared" si="30"/>
        <v>-1.8545572222875208E-3</v>
      </c>
      <c r="U99" s="1">
        <f t="shared" si="31"/>
        <v>1.7180975219382978E-2</v>
      </c>
      <c r="V99" s="1">
        <f t="shared" si="32"/>
        <v>-2.0125196090732145E-2</v>
      </c>
      <c r="W99" s="1">
        <f t="shared" si="33"/>
        <v>1.4874020190698917E-2</v>
      </c>
      <c r="Y99" s="1">
        <f t="shared" si="34"/>
        <v>-1.5069030285151416E-3</v>
      </c>
      <c r="Z99" s="1">
        <f t="shared" si="35"/>
        <v>9.6470702891272471E-3</v>
      </c>
      <c r="AA99" s="1">
        <f t="shared" si="36"/>
        <v>4.1450214285245895E-3</v>
      </c>
      <c r="AB99" s="1">
        <f t="shared" si="37"/>
        <v>9.070777333968048E-3</v>
      </c>
      <c r="AC99" s="1">
        <f t="shared" si="38"/>
        <v>9.7283358275807429E-3</v>
      </c>
      <c r="AD99" s="1">
        <f t="shared" si="39"/>
        <v>-4.4581630762815135E-3</v>
      </c>
      <c r="AE99" s="1">
        <f t="shared" si="40"/>
        <v>-3.5195163545945519E-3</v>
      </c>
      <c r="AF99" s="1">
        <f t="shared" si="41"/>
        <v>1.5516016087075948E-2</v>
      </c>
      <c r="AG99" s="1">
        <f t="shared" si="42"/>
        <v>-2.1790155223039176E-2</v>
      </c>
      <c r="AH99" s="1">
        <f t="shared" si="43"/>
        <v>1.3209061058391886E-2</v>
      </c>
      <c r="AW99" s="28"/>
    </row>
    <row r="100" spans="1:49" x14ac:dyDescent="0.3">
      <c r="A100" s="120">
        <v>45429</v>
      </c>
      <c r="B100" s="121" t="s">
        <v>919</v>
      </c>
      <c r="C100" s="121" t="s">
        <v>920</v>
      </c>
      <c r="D100" s="121" t="s">
        <v>921</v>
      </c>
      <c r="E100" s="121" t="s">
        <v>922</v>
      </c>
      <c r="F100" s="121" t="s">
        <v>923</v>
      </c>
      <c r="G100" s="121" t="s">
        <v>924</v>
      </c>
      <c r="H100" s="1">
        <v>417.7783203125</v>
      </c>
      <c r="I100" s="121" t="s">
        <v>925</v>
      </c>
      <c r="J100" s="1">
        <v>92.4486083984375</v>
      </c>
      <c r="K100" s="121" t="s">
        <v>926</v>
      </c>
      <c r="M100" s="122">
        <v>45429</v>
      </c>
      <c r="N100" s="1">
        <f t="shared" si="24"/>
        <v>6.143100069081215E-3</v>
      </c>
      <c r="O100" s="1">
        <f t="shared" si="25"/>
        <v>1.1245587635786581E-2</v>
      </c>
      <c r="P100" s="1">
        <f t="shared" si="26"/>
        <v>-6.3002798714075665E-3</v>
      </c>
      <c r="Q100" s="1">
        <f t="shared" si="27"/>
        <v>4.8728256518042494E-3</v>
      </c>
      <c r="R100" s="1">
        <f t="shared" si="28"/>
        <v>-4.6015560177637263E-2</v>
      </c>
      <c r="S100" s="1">
        <f t="shared" si="29"/>
        <v>-6.5267239922019585E-3</v>
      </c>
      <c r="T100" s="1">
        <f t="shared" si="30"/>
        <v>1.2134329424232961E-2</v>
      </c>
      <c r="U100" s="1">
        <f t="shared" si="31"/>
        <v>3.1256557425335285E-2</v>
      </c>
      <c r="V100" s="1">
        <f t="shared" si="32"/>
        <v>2.4577021494853125E-2</v>
      </c>
      <c r="W100" s="1">
        <f t="shared" si="33"/>
        <v>-1.4245067870223688E-2</v>
      </c>
      <c r="Y100" s="1">
        <f t="shared" si="34"/>
        <v>4.4781409367741836E-3</v>
      </c>
      <c r="Z100" s="1">
        <f t="shared" si="35"/>
        <v>9.5806285034795505E-3</v>
      </c>
      <c r="AA100" s="1">
        <f t="shared" si="36"/>
        <v>-7.965239003714597E-3</v>
      </c>
      <c r="AB100" s="1">
        <f t="shared" si="37"/>
        <v>3.207866519497218E-3</v>
      </c>
      <c r="AC100" s="1">
        <f t="shared" si="38"/>
        <v>-4.7680519309944297E-2</v>
      </c>
      <c r="AD100" s="1">
        <f t="shared" si="39"/>
        <v>-8.1916831245089899E-3</v>
      </c>
      <c r="AE100" s="1">
        <f t="shared" si="40"/>
        <v>1.046937029192593E-2</v>
      </c>
      <c r="AF100" s="1">
        <f t="shared" si="41"/>
        <v>2.9591598293028255E-2</v>
      </c>
      <c r="AG100" s="1">
        <f t="shared" si="42"/>
        <v>2.2912062362546094E-2</v>
      </c>
      <c r="AH100" s="1">
        <f t="shared" si="43"/>
        <v>-1.5910027002530719E-2</v>
      </c>
      <c r="AW100" s="28"/>
    </row>
    <row r="101" spans="1:49" x14ac:dyDescent="0.3">
      <c r="A101" s="120">
        <v>45432</v>
      </c>
      <c r="B101" s="121" t="s">
        <v>927</v>
      </c>
      <c r="C101" s="121" t="s">
        <v>928</v>
      </c>
      <c r="D101" s="121" t="s">
        <v>929</v>
      </c>
      <c r="E101" s="121" t="s">
        <v>930</v>
      </c>
      <c r="F101" s="121" t="s">
        <v>931</v>
      </c>
      <c r="G101" s="121" t="s">
        <v>932</v>
      </c>
      <c r="H101" s="1">
        <v>422.878662109375</v>
      </c>
      <c r="I101" s="121" t="s">
        <v>933</v>
      </c>
      <c r="J101" s="121" t="s">
        <v>934</v>
      </c>
      <c r="K101" s="121" t="s">
        <v>935</v>
      </c>
      <c r="M101" s="122">
        <v>45432</v>
      </c>
      <c r="N101" s="1">
        <f t="shared" si="24"/>
        <v>6.8339120492761779E-3</v>
      </c>
      <c r="O101" s="1">
        <f t="shared" si="25"/>
        <v>-1.009101370029636E-2</v>
      </c>
      <c r="P101" s="1">
        <f t="shared" si="26"/>
        <v>-2.1271349114114825E-3</v>
      </c>
      <c r="Q101" s="1">
        <f t="shared" si="27"/>
        <v>5.2428042501133478E-3</v>
      </c>
      <c r="R101" s="1">
        <f t="shared" si="28"/>
        <v>1.9945014843922703E-2</v>
      </c>
      <c r="S101" s="1">
        <f t="shared" si="29"/>
        <v>-9.0201795036483744E-3</v>
      </c>
      <c r="T101" s="1">
        <f t="shared" si="30"/>
        <v>8.6613052432793526E-3</v>
      </c>
      <c r="U101" s="1">
        <f t="shared" si="31"/>
        <v>1.516174415068538E-2</v>
      </c>
      <c r="V101" s="1">
        <f t="shared" si="32"/>
        <v>6.3733570590804676E-3</v>
      </c>
      <c r="W101" s="1">
        <f t="shared" si="33"/>
        <v>6.4467119752230725E-2</v>
      </c>
      <c r="Y101" s="1">
        <f t="shared" si="34"/>
        <v>5.1689529169691465E-3</v>
      </c>
      <c r="Z101" s="1">
        <f t="shared" si="35"/>
        <v>-1.1755972832603391E-2</v>
      </c>
      <c r="AA101" s="1">
        <f t="shared" si="36"/>
        <v>-3.7920940437185134E-3</v>
      </c>
      <c r="AB101" s="1">
        <f t="shared" si="37"/>
        <v>3.5778451178063164E-3</v>
      </c>
      <c r="AC101" s="1">
        <f t="shared" si="38"/>
        <v>1.8280055711615673E-2</v>
      </c>
      <c r="AD101" s="1">
        <f t="shared" si="39"/>
        <v>-1.0685138635955405E-2</v>
      </c>
      <c r="AE101" s="1">
        <f t="shared" si="40"/>
        <v>6.9963461109723213E-3</v>
      </c>
      <c r="AF101" s="1">
        <f t="shared" si="41"/>
        <v>1.349678501837835E-2</v>
      </c>
      <c r="AG101" s="1">
        <f t="shared" si="42"/>
        <v>4.7083979267734362E-3</v>
      </c>
      <c r="AH101" s="1">
        <f t="shared" si="43"/>
        <v>6.2802160619923691E-2</v>
      </c>
      <c r="AW101" s="28"/>
    </row>
    <row r="102" spans="1:49" x14ac:dyDescent="0.3">
      <c r="A102" s="120">
        <v>45433</v>
      </c>
      <c r="B102" s="121" t="s">
        <v>936</v>
      </c>
      <c r="C102" s="121" t="s">
        <v>937</v>
      </c>
      <c r="D102" s="121" t="s">
        <v>938</v>
      </c>
      <c r="E102" s="121" t="s">
        <v>939</v>
      </c>
      <c r="F102" s="121" t="s">
        <v>940</v>
      </c>
      <c r="G102" s="121" t="s">
        <v>941</v>
      </c>
      <c r="H102" s="121" t="s">
        <v>942</v>
      </c>
      <c r="I102" s="121" t="s">
        <v>943</v>
      </c>
      <c r="J102" s="121" t="s">
        <v>944</v>
      </c>
      <c r="K102" s="121" t="s">
        <v>945</v>
      </c>
      <c r="M102" s="122">
        <v>45433</v>
      </c>
      <c r="N102" s="1">
        <f t="shared" si="24"/>
        <v>-7.5669067638125462E-3</v>
      </c>
      <c r="O102" s="1">
        <f t="shared" si="25"/>
        <v>5.2092951389275961E-3</v>
      </c>
      <c r="P102" s="1">
        <f t="shared" si="26"/>
        <v>-1.0914608364355198E-4</v>
      </c>
      <c r="Q102" s="1">
        <f t="shared" si="27"/>
        <v>-8.2996943290153963E-3</v>
      </c>
      <c r="R102" s="1">
        <f t="shared" si="28"/>
        <v>-6.0830560905487958E-3</v>
      </c>
      <c r="S102" s="1">
        <f t="shared" si="29"/>
        <v>6.7566437400658373E-3</v>
      </c>
      <c r="T102" s="1">
        <f t="shared" si="30"/>
        <v>3.4436968864547317E-3</v>
      </c>
      <c r="U102" s="1">
        <f t="shared" si="31"/>
        <v>-1.5708125743929411E-2</v>
      </c>
      <c r="V102" s="1">
        <f t="shared" si="32"/>
        <v>-4.5814104258105242E-3</v>
      </c>
      <c r="W102" s="1">
        <f t="shared" si="33"/>
        <v>-3.5399542384592496E-2</v>
      </c>
      <c r="Y102" s="1">
        <f t="shared" si="34"/>
        <v>-9.2318658961195767E-3</v>
      </c>
      <c r="Z102" s="1">
        <f t="shared" si="35"/>
        <v>3.5443360066205647E-3</v>
      </c>
      <c r="AA102" s="1">
        <f t="shared" si="36"/>
        <v>-1.7741052159505831E-3</v>
      </c>
      <c r="AB102" s="1">
        <f t="shared" si="37"/>
        <v>-9.9646534613224268E-3</v>
      </c>
      <c r="AC102" s="1">
        <f t="shared" si="38"/>
        <v>-7.7480152228558271E-3</v>
      </c>
      <c r="AD102" s="1">
        <f t="shared" si="39"/>
        <v>5.0916846077588059E-3</v>
      </c>
      <c r="AE102" s="1">
        <f t="shared" si="40"/>
        <v>1.7787377541477005E-3</v>
      </c>
      <c r="AF102" s="1">
        <f t="shared" si="41"/>
        <v>-1.7373084876236441E-2</v>
      </c>
      <c r="AG102" s="1">
        <f t="shared" si="42"/>
        <v>-6.2463695581175555E-3</v>
      </c>
      <c r="AH102" s="1">
        <f t="shared" si="43"/>
        <v>-3.706450151689953E-2</v>
      </c>
      <c r="AW102" s="28"/>
    </row>
    <row r="103" spans="1:49" x14ac:dyDescent="0.3">
      <c r="A103" s="120">
        <v>45434</v>
      </c>
      <c r="B103" s="121" t="s">
        <v>946</v>
      </c>
      <c r="C103" s="121" t="s">
        <v>947</v>
      </c>
      <c r="D103" s="121" t="s">
        <v>948</v>
      </c>
      <c r="E103" s="121" t="s">
        <v>949</v>
      </c>
      <c r="F103" s="121" t="s">
        <v>950</v>
      </c>
      <c r="G103" s="121" t="s">
        <v>951</v>
      </c>
      <c r="H103" s="121" t="s">
        <v>952</v>
      </c>
      <c r="I103" s="1">
        <v>640.469970703125</v>
      </c>
      <c r="J103" s="121" t="s">
        <v>953</v>
      </c>
      <c r="K103" s="121" t="s">
        <v>954</v>
      </c>
      <c r="M103" s="122">
        <v>45434</v>
      </c>
      <c r="N103" s="1">
        <f t="shared" si="24"/>
        <v>-2.1283010698663417E-2</v>
      </c>
      <c r="O103" s="1">
        <f t="shared" si="25"/>
        <v>-3.1234394540327403E-2</v>
      </c>
      <c r="P103" s="1">
        <f t="shared" si="26"/>
        <v>-1.1423056748419076E-2</v>
      </c>
      <c r="Q103" s="1">
        <f t="shared" si="27"/>
        <v>-1.6174980866557782E-2</v>
      </c>
      <c r="R103" s="1">
        <f t="shared" si="28"/>
        <v>-7.0339368118215008E-3</v>
      </c>
      <c r="S103" s="1">
        <f t="shared" si="29"/>
        <v>-4.284563160998683E-3</v>
      </c>
      <c r="T103" s="1">
        <f t="shared" si="30"/>
        <v>-8.2098459191701882E-3</v>
      </c>
      <c r="U103" s="1">
        <f t="shared" si="31"/>
        <v>-7.5227022172900558E-3</v>
      </c>
      <c r="V103" s="1">
        <f t="shared" si="32"/>
        <v>8.9106038938224497E-2</v>
      </c>
      <c r="W103" s="1">
        <f t="shared" si="33"/>
        <v>-3.6007818288808016E-2</v>
      </c>
      <c r="Y103" s="1">
        <f t="shared" si="34"/>
        <v>-2.2947969830970447E-2</v>
      </c>
      <c r="Z103" s="1">
        <f t="shared" si="35"/>
        <v>-3.2899353672634433E-2</v>
      </c>
      <c r="AA103" s="1">
        <f t="shared" si="36"/>
        <v>-1.3088015880726106E-2</v>
      </c>
      <c r="AB103" s="1">
        <f t="shared" si="37"/>
        <v>-1.7839939998864813E-2</v>
      </c>
      <c r="AC103" s="1">
        <f t="shared" si="38"/>
        <v>-8.6988959441285322E-3</v>
      </c>
      <c r="AD103" s="1">
        <f t="shared" si="39"/>
        <v>-5.9495222933057144E-3</v>
      </c>
      <c r="AE103" s="1">
        <f t="shared" si="40"/>
        <v>-9.8748050514772187E-3</v>
      </c>
      <c r="AF103" s="1">
        <f t="shared" si="41"/>
        <v>-9.1876613495970871E-3</v>
      </c>
      <c r="AG103" s="1">
        <f t="shared" si="42"/>
        <v>8.7441079805917463E-2</v>
      </c>
      <c r="AH103" s="1">
        <f t="shared" si="43"/>
        <v>-3.767277742111505E-2</v>
      </c>
      <c r="AW103" s="28"/>
    </row>
    <row r="104" spans="1:49" x14ac:dyDescent="0.3">
      <c r="A104" s="120">
        <v>45435</v>
      </c>
      <c r="B104" s="121" t="s">
        <v>955</v>
      </c>
      <c r="C104" s="121" t="s">
        <v>956</v>
      </c>
      <c r="D104" s="121" t="s">
        <v>957</v>
      </c>
      <c r="E104" s="121" t="s">
        <v>958</v>
      </c>
      <c r="F104" s="121" t="s">
        <v>959</v>
      </c>
      <c r="G104" s="121" t="s">
        <v>960</v>
      </c>
      <c r="H104" s="1">
        <v>424.529052734375</v>
      </c>
      <c r="I104" s="121" t="s">
        <v>961</v>
      </c>
      <c r="J104" s="121" t="s">
        <v>962</v>
      </c>
      <c r="K104" s="121" t="s">
        <v>963</v>
      </c>
      <c r="M104" s="122">
        <v>45435</v>
      </c>
      <c r="N104" s="1">
        <f t="shared" si="24"/>
        <v>1.6452015851747576E-2</v>
      </c>
      <c r="O104" s="1">
        <f t="shared" si="25"/>
        <v>3.6296453834258779E-2</v>
      </c>
      <c r="P104" s="1">
        <f t="shared" si="26"/>
        <v>-1.6583920286554984E-3</v>
      </c>
      <c r="Q104" s="1">
        <f t="shared" si="27"/>
        <v>8.2630163978027089E-3</v>
      </c>
      <c r="R104" s="1">
        <f t="shared" si="28"/>
        <v>1.9063542811044738E-2</v>
      </c>
      <c r="S104" s="1">
        <f t="shared" si="29"/>
        <v>2.6357442289078534E-2</v>
      </c>
      <c r="T104" s="1">
        <f t="shared" si="30"/>
        <v>7.3732421874573486E-3</v>
      </c>
      <c r="U104" s="1">
        <f t="shared" si="31"/>
        <v>1.7280287193862147E-2</v>
      </c>
      <c r="V104" s="1">
        <f t="shared" si="32"/>
        <v>2.5397431376918619E-2</v>
      </c>
      <c r="W104" s="1">
        <f t="shared" si="33"/>
        <v>3.116576011599187E-2</v>
      </c>
      <c r="Y104" s="1">
        <f t="shared" si="34"/>
        <v>1.4787056719440545E-2</v>
      </c>
      <c r="Z104" s="1">
        <f t="shared" si="35"/>
        <v>3.4631494701951746E-2</v>
      </c>
      <c r="AA104" s="1">
        <f t="shared" si="36"/>
        <v>-3.3233511609625293E-3</v>
      </c>
      <c r="AB104" s="1">
        <f t="shared" si="37"/>
        <v>6.5980572654956776E-3</v>
      </c>
      <c r="AC104" s="1">
        <f t="shared" si="38"/>
        <v>1.7398583678737707E-2</v>
      </c>
      <c r="AD104" s="1">
        <f t="shared" si="39"/>
        <v>2.4692483156771503E-2</v>
      </c>
      <c r="AE104" s="1">
        <f t="shared" si="40"/>
        <v>5.7082830551503172E-3</v>
      </c>
      <c r="AF104" s="1">
        <f t="shared" si="41"/>
        <v>1.5615328061555116E-2</v>
      </c>
      <c r="AG104" s="1">
        <f t="shared" si="42"/>
        <v>2.3732472244611589E-2</v>
      </c>
      <c r="AH104" s="1">
        <f t="shared" si="43"/>
        <v>2.9500800983684839E-2</v>
      </c>
      <c r="AW104" s="28"/>
    </row>
    <row r="105" spans="1:49" x14ac:dyDescent="0.3">
      <c r="A105" s="120">
        <v>45436</v>
      </c>
      <c r="B105" s="121" t="s">
        <v>964</v>
      </c>
      <c r="C105" s="121" t="s">
        <v>965</v>
      </c>
      <c r="D105" s="1">
        <v>180.75</v>
      </c>
      <c r="E105" s="121" t="s">
        <v>966</v>
      </c>
      <c r="F105" s="1">
        <v>197.368896484375</v>
      </c>
      <c r="G105" s="121" t="s">
        <v>967</v>
      </c>
      <c r="H105" s="121" t="s">
        <v>968</v>
      </c>
      <c r="I105" s="1">
        <v>646.75</v>
      </c>
      <c r="J105" s="121" t="s">
        <v>969</v>
      </c>
      <c r="K105" s="121" t="s">
        <v>970</v>
      </c>
      <c r="M105" s="122">
        <v>45436</v>
      </c>
      <c r="N105" s="1">
        <f t="shared" si="24"/>
        <v>5.2703041502316571E-5</v>
      </c>
      <c r="O105" s="1">
        <f t="shared" si="25"/>
        <v>3.1070345427260837E-2</v>
      </c>
      <c r="P105" s="1">
        <f t="shared" si="26"/>
        <v>7.7156289075126748E-3</v>
      </c>
      <c r="Q105" s="1">
        <f t="shared" si="27"/>
        <v>8.0253075679144713E-3</v>
      </c>
      <c r="R105" s="1">
        <f t="shared" si="28"/>
        <v>-6.0468809701476481E-3</v>
      </c>
      <c r="S105" s="1">
        <f t="shared" si="29"/>
        <v>3.5486018856241025E-3</v>
      </c>
      <c r="T105" s="1">
        <f t="shared" si="30"/>
        <v>3.7191821723997324E-4</v>
      </c>
      <c r="U105" s="1">
        <f t="shared" si="31"/>
        <v>3.4728956379514375E-3</v>
      </c>
      <c r="V105" s="1">
        <f t="shared" si="32"/>
        <v>6.7475710894459806E-2</v>
      </c>
      <c r="W105" s="1">
        <f t="shared" si="33"/>
        <v>-1.3989415788235805E-2</v>
      </c>
      <c r="Y105" s="1">
        <f t="shared" si="34"/>
        <v>-1.6122560908047145E-3</v>
      </c>
      <c r="Z105" s="1">
        <f t="shared" si="35"/>
        <v>2.9405386294953807E-2</v>
      </c>
      <c r="AA105" s="1">
        <f t="shared" si="36"/>
        <v>6.0506697752056434E-3</v>
      </c>
      <c r="AB105" s="1">
        <f t="shared" si="37"/>
        <v>6.3603484356074399E-3</v>
      </c>
      <c r="AC105" s="1">
        <f t="shared" si="38"/>
        <v>-7.7118401024546795E-3</v>
      </c>
      <c r="AD105" s="1">
        <f t="shared" si="39"/>
        <v>1.8836427533170713E-3</v>
      </c>
      <c r="AE105" s="1">
        <f t="shared" si="40"/>
        <v>-1.2930409150670578E-3</v>
      </c>
      <c r="AF105" s="1">
        <f t="shared" si="41"/>
        <v>1.8079365056444063E-3</v>
      </c>
      <c r="AG105" s="1">
        <f t="shared" si="42"/>
        <v>6.5810751762152772E-2</v>
      </c>
      <c r="AH105" s="1">
        <f t="shared" si="43"/>
        <v>-1.5654374920542835E-2</v>
      </c>
      <c r="AW105" s="28"/>
    </row>
    <row r="106" spans="1:49" x14ac:dyDescent="0.3">
      <c r="A106" s="120">
        <v>45440</v>
      </c>
      <c r="B106" s="121" t="s">
        <v>971</v>
      </c>
      <c r="C106" s="121" t="s">
        <v>972</v>
      </c>
      <c r="D106" s="121" t="s">
        <v>973</v>
      </c>
      <c r="E106" s="121" t="s">
        <v>974</v>
      </c>
      <c r="F106" s="121" t="s">
        <v>975</v>
      </c>
      <c r="G106" s="121" t="s">
        <v>976</v>
      </c>
      <c r="H106" s="121" t="s">
        <v>977</v>
      </c>
      <c r="I106" s="1">
        <v>649</v>
      </c>
      <c r="J106" s="121" t="s">
        <v>978</v>
      </c>
      <c r="K106" s="1">
        <v>176.75</v>
      </c>
      <c r="M106" s="122">
        <v>45440</v>
      </c>
      <c r="N106" s="1">
        <f t="shared" si="24"/>
        <v>1.5777091709795982E-3</v>
      </c>
      <c r="O106" s="1">
        <f t="shared" si="25"/>
        <v>-3.8430868677512865E-2</v>
      </c>
      <c r="P106" s="1">
        <f t="shared" si="26"/>
        <v>-7.1389532470177966E-4</v>
      </c>
      <c r="Q106" s="1">
        <f t="shared" si="27"/>
        <v>-2.838484565703341E-3</v>
      </c>
      <c r="R106" s="1">
        <f t="shared" si="28"/>
        <v>-6.9917549887137881E-3</v>
      </c>
      <c r="S106" s="1">
        <f t="shared" si="29"/>
        <v>-1.165303443798622E-2</v>
      </c>
      <c r="T106" s="1">
        <f t="shared" si="30"/>
        <v>-2.6759972374433773E-3</v>
      </c>
      <c r="U106" s="1">
        <f t="shared" si="31"/>
        <v>8.6221904467243208E-3</v>
      </c>
      <c r="V106" s="1">
        <f t="shared" si="32"/>
        <v>8.0795975688457682E-3</v>
      </c>
      <c r="W106" s="1">
        <f t="shared" si="33"/>
        <v>-3.1733327174784114E-3</v>
      </c>
      <c r="Y106" s="1">
        <f t="shared" si="34"/>
        <v>-8.7249961327432986E-5</v>
      </c>
      <c r="Z106" s="1">
        <f t="shared" si="35"/>
        <v>-4.0095827809819899E-2</v>
      </c>
      <c r="AA106" s="1">
        <f t="shared" si="36"/>
        <v>-2.3788544570088107E-3</v>
      </c>
      <c r="AB106" s="1">
        <f t="shared" si="37"/>
        <v>-4.5034436980103719E-3</v>
      </c>
      <c r="AC106" s="1">
        <f t="shared" si="38"/>
        <v>-8.6567141210208195E-3</v>
      </c>
      <c r="AD106" s="1">
        <f t="shared" si="39"/>
        <v>-1.331799357029325E-2</v>
      </c>
      <c r="AE106" s="1">
        <f t="shared" si="40"/>
        <v>-4.3409563697504082E-3</v>
      </c>
      <c r="AF106" s="1">
        <f t="shared" si="41"/>
        <v>6.9572313144172894E-3</v>
      </c>
      <c r="AG106" s="1">
        <f t="shared" si="42"/>
        <v>6.4146384365387369E-3</v>
      </c>
      <c r="AH106" s="1">
        <f t="shared" si="43"/>
        <v>-4.8382918497854423E-3</v>
      </c>
      <c r="AW106" s="28"/>
    </row>
    <row r="107" spans="1:49" x14ac:dyDescent="0.3">
      <c r="A107" s="120">
        <v>45441</v>
      </c>
      <c r="B107" s="1">
        <v>189.652587890625</v>
      </c>
      <c r="C107" s="121" t="s">
        <v>979</v>
      </c>
      <c r="D107" s="121" t="s">
        <v>980</v>
      </c>
      <c r="E107" s="121" t="s">
        <v>981</v>
      </c>
      <c r="F107" s="121" t="s">
        <v>982</v>
      </c>
      <c r="G107" s="1">
        <v>472.6357421875</v>
      </c>
      <c r="H107" s="1">
        <v>426.6865234375</v>
      </c>
      <c r="I107" s="121" t="s">
        <v>983</v>
      </c>
      <c r="J107" s="121" t="s">
        <v>984</v>
      </c>
      <c r="K107" s="121" t="s">
        <v>985</v>
      </c>
      <c r="M107" s="122">
        <v>45441</v>
      </c>
      <c r="N107" s="1">
        <f t="shared" si="24"/>
        <v>5.2414188811790606E-3</v>
      </c>
      <c r="O107" s="1">
        <f t="shared" si="25"/>
        <v>9.7020895024175994E-3</v>
      </c>
      <c r="P107" s="1">
        <f t="shared" si="26"/>
        <v>-1.494463449004591E-2</v>
      </c>
      <c r="Q107" s="1">
        <f t="shared" si="27"/>
        <v>-2.1781791595386343E-2</v>
      </c>
      <c r="R107" s="1">
        <f t="shared" si="28"/>
        <v>6.1393127563860355E-3</v>
      </c>
      <c r="S107" s="1">
        <f t="shared" si="29"/>
        <v>-1.5530182925285655E-2</v>
      </c>
      <c r="T107" s="1">
        <f t="shared" si="30"/>
        <v>-3.4370122278238747E-2</v>
      </c>
      <c r="U107" s="1">
        <f t="shared" si="31"/>
        <v>-1.0689081320625434E-2</v>
      </c>
      <c r="V107" s="1">
        <f t="shared" si="32"/>
        <v>-3.8393766982803473E-2</v>
      </c>
      <c r="W107" s="1">
        <f t="shared" si="33"/>
        <v>1.4648923152826673E-2</v>
      </c>
      <c r="Y107" s="1">
        <f t="shared" si="34"/>
        <v>3.5764597488720292E-3</v>
      </c>
      <c r="Z107" s="1">
        <f t="shared" si="35"/>
        <v>8.0371303701105689E-3</v>
      </c>
      <c r="AA107" s="1">
        <f t="shared" si="36"/>
        <v>-1.6609593622352942E-2</v>
      </c>
      <c r="AB107" s="1">
        <f t="shared" si="37"/>
        <v>-2.3446750727693373E-2</v>
      </c>
      <c r="AC107" s="1">
        <f t="shared" si="38"/>
        <v>4.4743536240790041E-3</v>
      </c>
      <c r="AD107" s="1">
        <f t="shared" si="39"/>
        <v>-1.7195142057592688E-2</v>
      </c>
      <c r="AE107" s="1">
        <f t="shared" si="40"/>
        <v>-3.6035081410545781E-2</v>
      </c>
      <c r="AF107" s="1">
        <f t="shared" si="41"/>
        <v>-1.2354040452932464E-2</v>
      </c>
      <c r="AG107" s="1">
        <f t="shared" si="42"/>
        <v>-4.0058726115110507E-2</v>
      </c>
      <c r="AH107" s="1">
        <f t="shared" si="43"/>
        <v>1.2983964020519642E-2</v>
      </c>
      <c r="AW107" s="28"/>
    </row>
    <row r="108" spans="1:49" x14ac:dyDescent="0.3">
      <c r="A108" s="120">
        <v>45442</v>
      </c>
      <c r="B108" s="121" t="s">
        <v>986</v>
      </c>
      <c r="C108" s="1">
        <v>166.75</v>
      </c>
      <c r="D108" s="121" t="s">
        <v>987</v>
      </c>
      <c r="E108" s="121" t="s">
        <v>988</v>
      </c>
      <c r="F108" s="121" t="s">
        <v>989</v>
      </c>
      <c r="G108" s="121" t="s">
        <v>990</v>
      </c>
      <c r="H108" s="121" t="s">
        <v>991</v>
      </c>
      <c r="I108" s="121" t="s">
        <v>992</v>
      </c>
      <c r="J108" s="121" t="s">
        <v>993</v>
      </c>
      <c r="K108" s="121" t="s">
        <v>994</v>
      </c>
      <c r="M108" s="122">
        <v>45442</v>
      </c>
      <c r="N108" s="1">
        <f t="shared" si="24"/>
        <v>5.0060216755335842E-3</v>
      </c>
      <c r="O108" s="1">
        <f t="shared" si="25"/>
        <v>8.9910930215759044E-4</v>
      </c>
      <c r="P108" s="1">
        <f t="shared" si="26"/>
        <v>-1.619107105786775E-2</v>
      </c>
      <c r="Q108" s="1">
        <f t="shared" si="27"/>
        <v>2.2633024000719396E-3</v>
      </c>
      <c r="R108" s="1">
        <f t="shared" si="28"/>
        <v>1.6419936028124787E-2</v>
      </c>
      <c r="S108" s="1">
        <f t="shared" si="29"/>
        <v>-4.7116861279087018E-4</v>
      </c>
      <c r="T108" s="1">
        <f t="shared" si="30"/>
        <v>1.108696939806624E-3</v>
      </c>
      <c r="U108" s="1">
        <f t="shared" si="31"/>
        <v>-9.3696053040295286E-3</v>
      </c>
      <c r="V108" s="1">
        <f t="shared" si="32"/>
        <v>-7.8769517887758069E-3</v>
      </c>
      <c r="W108" s="1">
        <f t="shared" si="33"/>
        <v>-3.9789974025967864E-3</v>
      </c>
      <c r="Y108" s="1">
        <f t="shared" si="34"/>
        <v>3.3410625432265528E-3</v>
      </c>
      <c r="Z108" s="1">
        <f t="shared" si="35"/>
        <v>-7.658498301494407E-4</v>
      </c>
      <c r="AA108" s="1">
        <f t="shared" si="36"/>
        <v>-1.7856030190174781E-2</v>
      </c>
      <c r="AB108" s="1">
        <f t="shared" si="37"/>
        <v>5.9834326776490843E-4</v>
      </c>
      <c r="AC108" s="1">
        <f t="shared" si="38"/>
        <v>1.4754976895817756E-2</v>
      </c>
      <c r="AD108" s="1">
        <f t="shared" si="39"/>
        <v>-2.1361277450979012E-3</v>
      </c>
      <c r="AE108" s="1">
        <f t="shared" si="40"/>
        <v>-5.5626219250040718E-4</v>
      </c>
      <c r="AF108" s="1">
        <f t="shared" si="41"/>
        <v>-1.1034564436336559E-2</v>
      </c>
      <c r="AG108" s="1">
        <f t="shared" si="42"/>
        <v>-9.5419109210828374E-3</v>
      </c>
      <c r="AH108" s="1">
        <f t="shared" si="43"/>
        <v>-5.6439565349038177E-3</v>
      </c>
      <c r="AW108" s="28"/>
    </row>
    <row r="109" spans="1:49" x14ac:dyDescent="0.3">
      <c r="A109" s="120">
        <v>45443</v>
      </c>
      <c r="B109" s="121" t="s">
        <v>995</v>
      </c>
      <c r="C109" s="121" t="s">
        <v>996</v>
      </c>
      <c r="D109" s="121" t="s">
        <v>997</v>
      </c>
      <c r="E109" s="1">
        <v>171.67919921875</v>
      </c>
      <c r="F109" s="121" t="s">
        <v>998</v>
      </c>
      <c r="G109" s="121" t="s">
        <v>999</v>
      </c>
      <c r="H109" s="121" t="s">
        <v>1000</v>
      </c>
      <c r="I109" s="121" t="s">
        <v>1001</v>
      </c>
      <c r="J109" s="121" t="s">
        <v>1002</v>
      </c>
      <c r="K109" s="121" t="s">
        <v>1003</v>
      </c>
      <c r="M109" s="122">
        <v>45443</v>
      </c>
      <c r="N109" s="1">
        <f t="shared" si="24"/>
        <v>9.2161517159201969E-3</v>
      </c>
      <c r="O109" s="1">
        <f t="shared" si="25"/>
        <v>-2.027602145402382E-2</v>
      </c>
      <c r="P109" s="1">
        <f t="shared" si="26"/>
        <v>1.071093109853326E-2</v>
      </c>
      <c r="Q109" s="1">
        <f t="shared" si="27"/>
        <v>3.8766063169738589E-3</v>
      </c>
      <c r="R109" s="1">
        <f t="shared" si="28"/>
        <v>-4.0053294685209679E-3</v>
      </c>
      <c r="S109" s="1">
        <f t="shared" si="29"/>
        <v>2.2578104003320935E-2</v>
      </c>
      <c r="T109" s="1">
        <f t="shared" si="30"/>
        <v>-3.8859032615731802E-3</v>
      </c>
      <c r="U109" s="1">
        <f t="shared" si="31"/>
        <v>-1.2278585910383591E-2</v>
      </c>
      <c r="V109" s="1">
        <f t="shared" si="32"/>
        <v>4.7793612646065083E-2</v>
      </c>
      <c r="W109" s="1">
        <f t="shared" si="33"/>
        <v>-1.0102569596007272E-2</v>
      </c>
      <c r="Y109" s="1">
        <f t="shared" si="34"/>
        <v>7.5511925836131656E-3</v>
      </c>
      <c r="Z109" s="1">
        <f t="shared" si="35"/>
        <v>-2.1940980586330851E-2</v>
      </c>
      <c r="AA109" s="1">
        <f t="shared" si="36"/>
        <v>9.0459719662262291E-3</v>
      </c>
      <c r="AB109" s="1">
        <f t="shared" si="37"/>
        <v>2.2116471846668276E-3</v>
      </c>
      <c r="AC109" s="1">
        <f t="shared" si="38"/>
        <v>-5.6702886008279992E-3</v>
      </c>
      <c r="AD109" s="1">
        <f t="shared" si="39"/>
        <v>2.0913144871013905E-2</v>
      </c>
      <c r="AE109" s="1">
        <f t="shared" si="40"/>
        <v>-5.5508623938802116E-3</v>
      </c>
      <c r="AF109" s="1">
        <f t="shared" si="41"/>
        <v>-1.3943545042690622E-2</v>
      </c>
      <c r="AG109" s="1">
        <f t="shared" si="42"/>
        <v>4.6128653513758049E-2</v>
      </c>
      <c r="AH109" s="1">
        <f t="shared" si="43"/>
        <v>-1.1767528728314302E-2</v>
      </c>
      <c r="AW109" s="28"/>
    </row>
    <row r="110" spans="1:49" x14ac:dyDescent="0.3">
      <c r="A110" s="120">
        <v>45446</v>
      </c>
      <c r="B110" s="121" t="s">
        <v>1004</v>
      </c>
      <c r="C110" s="121" t="s">
        <v>1005</v>
      </c>
      <c r="D110" s="121" t="s">
        <v>1006</v>
      </c>
      <c r="E110" s="121" t="s">
        <v>1007</v>
      </c>
      <c r="F110" s="1">
        <v>198.46044921875</v>
      </c>
      <c r="G110" s="1">
        <v>475.75439453125</v>
      </c>
      <c r="H110" s="121" t="s">
        <v>1008</v>
      </c>
      <c r="I110" s="121" t="s">
        <v>1009</v>
      </c>
      <c r="J110" s="121" t="s">
        <v>1010</v>
      </c>
      <c r="K110" s="121" t="s">
        <v>1011</v>
      </c>
      <c r="M110" s="122">
        <v>45446</v>
      </c>
      <c r="N110" s="1">
        <f t="shared" si="24"/>
        <v>1.6479283176006592E-3</v>
      </c>
      <c r="O110" s="1">
        <f t="shared" si="25"/>
        <v>-2.2007425028825994E-2</v>
      </c>
      <c r="P110" s="1">
        <f t="shared" si="26"/>
        <v>5.5916049316681584E-3</v>
      </c>
      <c r="Q110" s="1">
        <f t="shared" si="27"/>
        <v>3.5739042644877825E-3</v>
      </c>
      <c r="R110" s="1">
        <f t="shared" si="28"/>
        <v>-1.3267776069697279E-2</v>
      </c>
      <c r="S110" s="1">
        <f t="shared" si="29"/>
        <v>-1.0477265214783025E-3</v>
      </c>
      <c r="T110" s="1">
        <f t="shared" si="30"/>
        <v>6.1477182044749881E-3</v>
      </c>
      <c r="U110" s="1">
        <f t="shared" si="31"/>
        <v>-3.4296948551051747E-3</v>
      </c>
      <c r="V110" s="1">
        <f t="shared" si="32"/>
        <v>1.2418253006655909E-2</v>
      </c>
      <c r="W110" s="1">
        <f t="shared" si="33"/>
        <v>-8.6594799889705438E-3</v>
      </c>
      <c r="Y110" s="1">
        <f t="shared" si="34"/>
        <v>-1.7030814706371937E-5</v>
      </c>
      <c r="Z110" s="1">
        <f t="shared" si="35"/>
        <v>-2.3672384161133025E-2</v>
      </c>
      <c r="AA110" s="1">
        <f t="shared" si="36"/>
        <v>3.9266457993611271E-3</v>
      </c>
      <c r="AB110" s="1">
        <f t="shared" si="37"/>
        <v>1.9089451321807514E-3</v>
      </c>
      <c r="AC110" s="1">
        <f t="shared" si="38"/>
        <v>-1.493273520200431E-2</v>
      </c>
      <c r="AD110" s="1">
        <f t="shared" si="39"/>
        <v>-2.7126856537853334E-3</v>
      </c>
      <c r="AE110" s="1">
        <f t="shared" si="40"/>
        <v>4.4827590721679567E-3</v>
      </c>
      <c r="AF110" s="1">
        <f t="shared" si="41"/>
        <v>-5.094653987412206E-3</v>
      </c>
      <c r="AG110" s="1">
        <f t="shared" si="42"/>
        <v>1.0753293874348879E-2</v>
      </c>
      <c r="AH110" s="1">
        <f t="shared" si="43"/>
        <v>-1.0324439121277574E-2</v>
      </c>
      <c r="AW110" s="28"/>
    </row>
    <row r="111" spans="1:49" x14ac:dyDescent="0.3">
      <c r="A111" s="120">
        <v>45447</v>
      </c>
      <c r="B111" s="121" t="s">
        <v>1012</v>
      </c>
      <c r="C111" s="121" t="s">
        <v>1013</v>
      </c>
      <c r="D111" s="121" t="s">
        <v>1014</v>
      </c>
      <c r="E111" s="121" t="s">
        <v>1015</v>
      </c>
      <c r="F111" s="121" t="s">
        <v>1016</v>
      </c>
      <c r="G111" s="121" t="s">
        <v>1017</v>
      </c>
      <c r="H111" s="121" t="s">
        <v>1018</v>
      </c>
      <c r="I111" s="121" t="s">
        <v>1019</v>
      </c>
      <c r="J111" s="121" t="s">
        <v>1020</v>
      </c>
      <c r="K111" s="121" t="s">
        <v>1021</v>
      </c>
      <c r="M111" s="122">
        <v>45447</v>
      </c>
      <c r="N111" s="1">
        <f t="shared" si="24"/>
        <v>7.7904344585371099E-3</v>
      </c>
      <c r="O111" s="1">
        <f t="shared" si="25"/>
        <v>3.7900002078914134E-2</v>
      </c>
      <c r="P111" s="1">
        <f t="shared" si="26"/>
        <v>1.0759365441919338E-2</v>
      </c>
      <c r="Q111" s="1">
        <f t="shared" si="27"/>
        <v>9.2784913123293983E-3</v>
      </c>
      <c r="R111" s="1">
        <f t="shared" si="28"/>
        <v>-9.5858959739205038E-3</v>
      </c>
      <c r="S111" s="1">
        <f t="shared" si="29"/>
        <v>3.7183473293218063E-2</v>
      </c>
      <c r="T111" s="1">
        <f t="shared" si="30"/>
        <v>1.8903499513608514E-2</v>
      </c>
      <c r="U111" s="1">
        <f t="shared" si="31"/>
        <v>2.9099751531691132E-2</v>
      </c>
      <c r="V111" s="1">
        <f t="shared" si="32"/>
        <v>5.0270775895088771E-2</v>
      </c>
      <c r="W111" s="1">
        <f t="shared" si="33"/>
        <v>1.3151256990582446E-3</v>
      </c>
      <c r="Y111" s="1">
        <f t="shared" si="34"/>
        <v>6.1254753262300786E-3</v>
      </c>
      <c r="Z111" s="1">
        <f t="shared" si="35"/>
        <v>3.62350429466071E-2</v>
      </c>
      <c r="AA111" s="1">
        <f t="shared" si="36"/>
        <v>9.0944063096123073E-3</v>
      </c>
      <c r="AB111" s="1">
        <f t="shared" si="37"/>
        <v>7.6135321800223669E-3</v>
      </c>
      <c r="AC111" s="1">
        <f t="shared" si="38"/>
        <v>-1.1250855106227534E-2</v>
      </c>
      <c r="AD111" s="1">
        <f t="shared" si="39"/>
        <v>3.5518514160911029E-2</v>
      </c>
      <c r="AE111" s="1">
        <f t="shared" si="40"/>
        <v>1.7238540381301484E-2</v>
      </c>
      <c r="AF111" s="1">
        <f t="shared" si="41"/>
        <v>2.7434792399384102E-2</v>
      </c>
      <c r="AG111" s="1">
        <f t="shared" si="42"/>
        <v>4.8605816762781737E-2</v>
      </c>
      <c r="AH111" s="1">
        <f t="shared" si="43"/>
        <v>-3.4983343324878659E-4</v>
      </c>
      <c r="AW111" s="28"/>
    </row>
    <row r="112" spans="1:49" x14ac:dyDescent="0.3">
      <c r="A112" s="120">
        <v>45448</v>
      </c>
      <c r="B112" s="121" t="s">
        <v>1022</v>
      </c>
      <c r="C112" s="121" t="s">
        <v>1023</v>
      </c>
      <c r="D112" s="121" t="s">
        <v>734</v>
      </c>
      <c r="E112" s="121" t="s">
        <v>1024</v>
      </c>
      <c r="F112" s="121" t="s">
        <v>1025</v>
      </c>
      <c r="G112" s="121" t="s">
        <v>1026</v>
      </c>
      <c r="H112" s="121" t="s">
        <v>1027</v>
      </c>
      <c r="I112" s="1">
        <v>650.27001953125</v>
      </c>
      <c r="J112" s="121" t="s">
        <v>1028</v>
      </c>
      <c r="K112" s="1">
        <v>175</v>
      </c>
      <c r="M112" s="122">
        <v>45448</v>
      </c>
      <c r="N112" s="1">
        <f t="shared" si="24"/>
        <v>-7.1219304112208528E-3</v>
      </c>
      <c r="O112" s="1">
        <f t="shared" si="25"/>
        <v>3.6642216456373544E-3</v>
      </c>
      <c r="P112" s="1">
        <f t="shared" si="26"/>
        <v>2.0313034532432776E-2</v>
      </c>
      <c r="Q112" s="1">
        <f t="shared" si="27"/>
        <v>7.496887912707988E-3</v>
      </c>
      <c r="R112" s="1">
        <f t="shared" si="28"/>
        <v>-1.7758231467504177E-3</v>
      </c>
      <c r="S112" s="1">
        <f t="shared" si="29"/>
        <v>-2.6293633706577831E-3</v>
      </c>
      <c r="T112" s="1">
        <f t="shared" si="30"/>
        <v>1.2020086144928714E-3</v>
      </c>
      <c r="U112" s="1">
        <f t="shared" si="31"/>
        <v>-2.6948174938433685E-3</v>
      </c>
      <c r="V112" s="1">
        <f t="shared" si="32"/>
        <v>-1.1847114043882084E-2</v>
      </c>
      <c r="W112" s="1">
        <f t="shared" si="33"/>
        <v>1.6660454613496092E-2</v>
      </c>
      <c r="Y112" s="1">
        <f t="shared" si="34"/>
        <v>-8.7868895435278833E-3</v>
      </c>
      <c r="Z112" s="1">
        <f t="shared" si="35"/>
        <v>1.9992625133303235E-3</v>
      </c>
      <c r="AA112" s="1">
        <f t="shared" si="36"/>
        <v>1.8648075400125745E-2</v>
      </c>
      <c r="AB112" s="1">
        <f t="shared" si="37"/>
        <v>5.8319287804009566E-3</v>
      </c>
      <c r="AC112" s="1">
        <f t="shared" si="38"/>
        <v>-3.4407822790574489E-3</v>
      </c>
      <c r="AD112" s="1">
        <f t="shared" si="39"/>
        <v>-4.2943225029648145E-3</v>
      </c>
      <c r="AE112" s="1">
        <f t="shared" si="40"/>
        <v>-4.6295051781415977E-4</v>
      </c>
      <c r="AF112" s="1">
        <f t="shared" si="41"/>
        <v>-4.3597766261503999E-3</v>
      </c>
      <c r="AG112" s="1">
        <f t="shared" si="42"/>
        <v>-1.3512073176189115E-2</v>
      </c>
      <c r="AH112" s="1">
        <f t="shared" si="43"/>
        <v>1.4995495481189062E-2</v>
      </c>
      <c r="AW112" s="28"/>
    </row>
    <row r="113" spans="1:49" x14ac:dyDescent="0.3">
      <c r="A113" s="120">
        <v>45449</v>
      </c>
      <c r="B113" s="121" t="s">
        <v>1029</v>
      </c>
      <c r="C113" s="121" t="s">
        <v>1030</v>
      </c>
      <c r="D113" s="1">
        <v>185</v>
      </c>
      <c r="E113" s="121" t="s">
        <v>1031</v>
      </c>
      <c r="F113" s="121" t="s">
        <v>1032</v>
      </c>
      <c r="G113" s="121" t="s">
        <v>1033</v>
      </c>
      <c r="H113" s="121" t="s">
        <v>1034</v>
      </c>
      <c r="I113" s="1">
        <v>648.52001953125</v>
      </c>
      <c r="J113" s="1">
        <v>120.958251953125</v>
      </c>
      <c r="K113" s="121" t="s">
        <v>1035</v>
      </c>
      <c r="M113" s="122">
        <v>45449</v>
      </c>
      <c r="N113" s="1">
        <f t="shared" si="24"/>
        <v>1.2315968883391428E-2</v>
      </c>
      <c r="O113" s="1">
        <f t="shared" si="25"/>
        <v>6.5142699078589309E-3</v>
      </c>
      <c r="P113" s="1">
        <f t="shared" si="26"/>
        <v>-3.7909438439093232E-3</v>
      </c>
      <c r="Q113" s="1">
        <f t="shared" si="27"/>
        <v>-1.2927580865895011E-2</v>
      </c>
      <c r="R113" s="1">
        <f t="shared" si="28"/>
        <v>1.532056362145285E-2</v>
      </c>
      <c r="S113" s="1">
        <f t="shared" si="29"/>
        <v>-1.6215892914821597E-3</v>
      </c>
      <c r="T113" s="1">
        <f t="shared" si="30"/>
        <v>-1.5793902522294805E-3</v>
      </c>
      <c r="U113" s="1">
        <f t="shared" si="31"/>
        <v>-1.0930501901437423E-2</v>
      </c>
      <c r="V113" s="1">
        <f t="shared" si="32"/>
        <v>-9.0950782640517893E-4</v>
      </c>
      <c r="W113" s="1">
        <f t="shared" si="33"/>
        <v>-2.5885260992168941E-3</v>
      </c>
      <c r="Y113" s="1">
        <f t="shared" si="34"/>
        <v>1.0651009751084397E-2</v>
      </c>
      <c r="Z113" s="1">
        <f t="shared" si="35"/>
        <v>4.8493107755518995E-3</v>
      </c>
      <c r="AA113" s="1">
        <f t="shared" si="36"/>
        <v>-5.4559029762163546E-3</v>
      </c>
      <c r="AB113" s="1">
        <f t="shared" si="37"/>
        <v>-1.4592539998202042E-2</v>
      </c>
      <c r="AC113" s="1">
        <f t="shared" si="38"/>
        <v>1.3655604489145819E-2</v>
      </c>
      <c r="AD113" s="1">
        <f t="shared" si="39"/>
        <v>-3.2865484237891906E-3</v>
      </c>
      <c r="AE113" s="1">
        <f t="shared" si="40"/>
        <v>-3.2443493845365117E-3</v>
      </c>
      <c r="AF113" s="1">
        <f t="shared" si="41"/>
        <v>-1.2595461033744454E-2</v>
      </c>
      <c r="AG113" s="1">
        <f t="shared" si="42"/>
        <v>-2.57446695871221E-3</v>
      </c>
      <c r="AH113" s="1">
        <f t="shared" si="43"/>
        <v>-4.2534852315239255E-3</v>
      </c>
      <c r="AW113" s="28"/>
    </row>
    <row r="114" spans="1:49" x14ac:dyDescent="0.3">
      <c r="A114" s="120">
        <v>45450</v>
      </c>
      <c r="B114" s="121" t="s">
        <v>1036</v>
      </c>
      <c r="C114" s="121" t="s">
        <v>1037</v>
      </c>
      <c r="D114" s="121" t="s">
        <v>1038</v>
      </c>
      <c r="E114" s="1">
        <v>173.6298828125</v>
      </c>
      <c r="F114" s="121" t="s">
        <v>1039</v>
      </c>
      <c r="G114" s="121" t="s">
        <v>1040</v>
      </c>
      <c r="H114" s="121" t="s">
        <v>1041</v>
      </c>
      <c r="I114" s="1">
        <v>641.469970703125</v>
      </c>
      <c r="J114" s="121" t="s">
        <v>1042</v>
      </c>
      <c r="K114" s="121" t="s">
        <v>1043</v>
      </c>
      <c r="M114" s="122">
        <v>45450</v>
      </c>
      <c r="N114" s="1">
        <f t="shared" si="24"/>
        <v>-1.9333509941909719E-2</v>
      </c>
      <c r="O114" s="1">
        <f t="shared" si="25"/>
        <v>-4.589330347229921E-2</v>
      </c>
      <c r="P114" s="1">
        <f t="shared" si="26"/>
        <v>1.4864526720524565E-2</v>
      </c>
      <c r="Q114" s="1">
        <f t="shared" si="27"/>
        <v>4.2946548644256597E-3</v>
      </c>
      <c r="R114" s="1">
        <f t="shared" si="28"/>
        <v>-1.701847397455778E-3</v>
      </c>
      <c r="S114" s="1">
        <f t="shared" si="29"/>
        <v>1.9366631531255375E-2</v>
      </c>
      <c r="T114" s="1">
        <f t="shared" si="30"/>
        <v>9.439713614436112E-3</v>
      </c>
      <c r="U114" s="1">
        <f t="shared" si="31"/>
        <v>4.7124504821613768E-3</v>
      </c>
      <c r="V114" s="1">
        <f t="shared" si="32"/>
        <v>7.4337462435932616E-3</v>
      </c>
      <c r="W114" s="1">
        <f t="shared" si="33"/>
        <v>-2.1010267293224784E-2</v>
      </c>
      <c r="Y114" s="1">
        <f t="shared" si="34"/>
        <v>-2.099846907421675E-2</v>
      </c>
      <c r="Z114" s="1">
        <f t="shared" si="35"/>
        <v>-4.7558262604606244E-2</v>
      </c>
      <c r="AA114" s="1">
        <f t="shared" si="36"/>
        <v>1.3199567588217534E-2</v>
      </c>
      <c r="AB114" s="1">
        <f t="shared" si="37"/>
        <v>2.6296957321186283E-3</v>
      </c>
      <c r="AC114" s="1">
        <f t="shared" si="38"/>
        <v>-3.3668065297628091E-3</v>
      </c>
      <c r="AD114" s="1">
        <f t="shared" si="39"/>
        <v>1.7701672398948345E-2</v>
      </c>
      <c r="AE114" s="1">
        <f t="shared" si="40"/>
        <v>7.7747544821290806E-3</v>
      </c>
      <c r="AF114" s="1">
        <f t="shared" si="41"/>
        <v>3.0474913498543454E-3</v>
      </c>
      <c r="AG114" s="1">
        <f t="shared" si="42"/>
        <v>5.7687871112862303E-3</v>
      </c>
      <c r="AH114" s="1">
        <f t="shared" si="43"/>
        <v>-2.2675226425531814E-2</v>
      </c>
      <c r="AW114" s="28"/>
    </row>
    <row r="115" spans="1:49" x14ac:dyDescent="0.3">
      <c r="A115" s="120">
        <v>45453</v>
      </c>
      <c r="B115" s="121" t="s">
        <v>1044</v>
      </c>
      <c r="C115" s="121" t="s">
        <v>1045</v>
      </c>
      <c r="D115" s="121" t="s">
        <v>535</v>
      </c>
      <c r="E115" s="121" t="s">
        <v>1046</v>
      </c>
      <c r="F115" s="121" t="s">
        <v>1047</v>
      </c>
      <c r="G115" s="121" t="s">
        <v>1048</v>
      </c>
      <c r="H115" s="121" t="s">
        <v>1049</v>
      </c>
      <c r="I115" s="1">
        <v>644.5</v>
      </c>
      <c r="J115" s="121" t="s">
        <v>1050</v>
      </c>
      <c r="K115" s="121" t="s">
        <v>1051</v>
      </c>
      <c r="M115" s="122">
        <v>45453</v>
      </c>
      <c r="N115" s="1">
        <f t="shared" si="24"/>
        <v>7.0131404013766496E-2</v>
      </c>
      <c r="O115" s="1">
        <f t="shared" si="25"/>
        <v>-8.6438972953874951E-3</v>
      </c>
      <c r="P115" s="1">
        <f t="shared" si="26"/>
        <v>9.083768398025423E-4</v>
      </c>
      <c r="Q115" s="1">
        <f t="shared" si="27"/>
        <v>9.157466585165806E-3</v>
      </c>
      <c r="R115" s="1">
        <f t="shared" si="28"/>
        <v>-2.6653384710277016E-2</v>
      </c>
      <c r="S115" s="1">
        <f t="shared" si="29"/>
        <v>9.64296396413372E-3</v>
      </c>
      <c r="T115" s="1">
        <f t="shared" si="30"/>
        <v>1.1179013441885939E-2</v>
      </c>
      <c r="U115" s="1">
        <f t="shared" si="31"/>
        <v>6.2642605854029559E-3</v>
      </c>
      <c r="V115" s="1">
        <f t="shared" si="32"/>
        <v>-7.1695737091787863E-3</v>
      </c>
      <c r="W115" s="1">
        <f t="shared" si="33"/>
        <v>-1.817434057762168E-2</v>
      </c>
      <c r="Y115" s="1">
        <f t="shared" si="34"/>
        <v>6.8466444881459462E-2</v>
      </c>
      <c r="Z115" s="1">
        <f t="shared" si="35"/>
        <v>-1.0308856427694526E-2</v>
      </c>
      <c r="AA115" s="1">
        <f t="shared" si="36"/>
        <v>-7.5658229250448884E-4</v>
      </c>
      <c r="AB115" s="1">
        <f t="shared" si="37"/>
        <v>7.4925074528587746E-3</v>
      </c>
      <c r="AC115" s="1">
        <f t="shared" si="38"/>
        <v>-2.8318343842584047E-2</v>
      </c>
      <c r="AD115" s="1">
        <f t="shared" si="39"/>
        <v>7.9780048318266895E-3</v>
      </c>
      <c r="AE115" s="1">
        <f t="shared" si="40"/>
        <v>9.5140543095789086E-3</v>
      </c>
      <c r="AF115" s="1">
        <f t="shared" si="41"/>
        <v>4.5993014530959246E-3</v>
      </c>
      <c r="AG115" s="1">
        <f t="shared" si="42"/>
        <v>-8.8345328414858176E-3</v>
      </c>
      <c r="AH115" s="1">
        <f t="shared" si="43"/>
        <v>-1.9839299709928711E-2</v>
      </c>
      <c r="AW115" s="28"/>
    </row>
    <row r="116" spans="1:49" x14ac:dyDescent="0.3">
      <c r="A116" s="120">
        <v>45454</v>
      </c>
      <c r="B116" s="121" t="s">
        <v>1052</v>
      </c>
      <c r="C116" s="121" t="s">
        <v>1053</v>
      </c>
      <c r="D116" s="121" t="s">
        <v>1054</v>
      </c>
      <c r="E116" s="121" t="s">
        <v>1055</v>
      </c>
      <c r="F116" s="121" t="s">
        <v>1056</v>
      </c>
      <c r="G116" s="121" t="s">
        <v>1057</v>
      </c>
      <c r="H116" s="121" t="s">
        <v>1058</v>
      </c>
      <c r="I116" s="121" t="s">
        <v>1059</v>
      </c>
      <c r="J116" s="121" t="s">
        <v>1060</v>
      </c>
      <c r="K116" s="121" t="s">
        <v>1061</v>
      </c>
      <c r="M116" s="122">
        <v>45454</v>
      </c>
      <c r="N116" s="1">
        <f t="shared" si="24"/>
        <v>2.8177760666253601E-2</v>
      </c>
      <c r="O116" s="1">
        <f t="shared" si="25"/>
        <v>8.0200851586514008E-3</v>
      </c>
      <c r="P116" s="1">
        <f t="shared" si="26"/>
        <v>-1.817579578366878E-3</v>
      </c>
      <c r="Q116" s="1">
        <f t="shared" si="27"/>
        <v>6.6024723585602204E-3</v>
      </c>
      <c r="R116" s="1">
        <f t="shared" si="28"/>
        <v>-1.4667692784348395E-2</v>
      </c>
      <c r="S116" s="1">
        <f t="shared" si="29"/>
        <v>2.6960303746715328E-3</v>
      </c>
      <c r="T116" s="1">
        <f t="shared" si="30"/>
        <v>1.9182508690565248E-2</v>
      </c>
      <c r="U116" s="1">
        <f t="shared" si="31"/>
        <v>2.3255796015885107E-3</v>
      </c>
      <c r="V116" s="1">
        <f t="shared" si="32"/>
        <v>3.4865907398326693E-2</v>
      </c>
      <c r="W116" s="1">
        <f t="shared" si="33"/>
        <v>3.811347747392986E-2</v>
      </c>
      <c r="Y116" s="1">
        <f t="shared" si="34"/>
        <v>2.651280153394657E-2</v>
      </c>
      <c r="Z116" s="1">
        <f t="shared" si="35"/>
        <v>6.3551260263443694E-3</v>
      </c>
      <c r="AA116" s="1">
        <f t="shared" si="36"/>
        <v>-3.4825387106739089E-3</v>
      </c>
      <c r="AB116" s="1">
        <f t="shared" si="37"/>
        <v>4.9375132262531891E-3</v>
      </c>
      <c r="AC116" s="1">
        <f t="shared" si="38"/>
        <v>-1.6332651916655425E-2</v>
      </c>
      <c r="AD116" s="1">
        <f t="shared" si="39"/>
        <v>1.0310712423645017E-3</v>
      </c>
      <c r="AE116" s="1">
        <f t="shared" si="40"/>
        <v>1.7517549558258218E-2</v>
      </c>
      <c r="AF116" s="1">
        <f t="shared" si="41"/>
        <v>6.6062046928147956E-4</v>
      </c>
      <c r="AG116" s="1">
        <f t="shared" si="42"/>
        <v>3.3200948266019659E-2</v>
      </c>
      <c r="AH116" s="1">
        <f t="shared" si="43"/>
        <v>3.6448518341622826E-2</v>
      </c>
      <c r="AW116" s="28"/>
    </row>
    <row r="117" spans="1:49" x14ac:dyDescent="0.3">
      <c r="A117" s="120">
        <v>45455</v>
      </c>
      <c r="B117" s="121" t="s">
        <v>1062</v>
      </c>
      <c r="C117" s="121" t="s">
        <v>1063</v>
      </c>
      <c r="D117" s="121" t="s">
        <v>1064</v>
      </c>
      <c r="E117" s="121" t="s">
        <v>1065</v>
      </c>
      <c r="F117" s="121" t="s">
        <v>1066</v>
      </c>
      <c r="G117" s="121" t="s">
        <v>1067</v>
      </c>
      <c r="H117" s="121" t="s">
        <v>1068</v>
      </c>
      <c r="I117" s="121" t="s">
        <v>1069</v>
      </c>
      <c r="J117" s="121" t="s">
        <v>1070</v>
      </c>
      <c r="K117" s="121" t="s">
        <v>1071</v>
      </c>
      <c r="M117" s="122">
        <v>45455</v>
      </c>
      <c r="N117" s="1">
        <f t="shared" si="24"/>
        <v>5.4760399016127318E-3</v>
      </c>
      <c r="O117" s="1">
        <f t="shared" si="25"/>
        <v>-2.1241439693398803E-3</v>
      </c>
      <c r="P117" s="1">
        <f t="shared" si="26"/>
        <v>-1.6508777761012259E-2</v>
      </c>
      <c r="Q117" s="1">
        <f t="shared" si="27"/>
        <v>-1.4903199344643901E-2</v>
      </c>
      <c r="R117" s="1">
        <f t="shared" si="28"/>
        <v>1.1059671186534283E-2</v>
      </c>
      <c r="S117" s="1">
        <f t="shared" si="29"/>
        <v>-9.3589790561732708E-3</v>
      </c>
      <c r="T117" s="1">
        <f t="shared" si="30"/>
        <v>1.1783003410835737E-3</v>
      </c>
      <c r="U117" s="1">
        <f t="shared" si="31"/>
        <v>4.9105647413937546E-3</v>
      </c>
      <c r="V117" s="1">
        <f t="shared" si="32"/>
        <v>3.4617594831715184E-2</v>
      </c>
      <c r="W117" s="1">
        <f t="shared" si="33"/>
        <v>2.8799010597450585E-2</v>
      </c>
      <c r="Y117" s="1">
        <f t="shared" si="34"/>
        <v>3.8110807693057004E-3</v>
      </c>
      <c r="Z117" s="1">
        <f t="shared" si="35"/>
        <v>-3.7891031016469116E-3</v>
      </c>
      <c r="AA117" s="1">
        <f t="shared" si="36"/>
        <v>-1.8173736893319289E-2</v>
      </c>
      <c r="AB117" s="1">
        <f t="shared" si="37"/>
        <v>-1.6568158476950933E-2</v>
      </c>
      <c r="AC117" s="1">
        <f t="shared" si="38"/>
        <v>9.3947120542272524E-3</v>
      </c>
      <c r="AD117" s="1">
        <f t="shared" si="39"/>
        <v>-1.1023938188480301E-2</v>
      </c>
      <c r="AE117" s="1">
        <f t="shared" si="40"/>
        <v>-4.8665879122345747E-4</v>
      </c>
      <c r="AF117" s="1">
        <f t="shared" si="41"/>
        <v>3.2456056090867233E-3</v>
      </c>
      <c r="AG117" s="1">
        <f t="shared" si="42"/>
        <v>3.295263569940815E-2</v>
      </c>
      <c r="AH117" s="1">
        <f t="shared" si="43"/>
        <v>2.7134051465143555E-2</v>
      </c>
      <c r="AW117" s="28"/>
    </row>
    <row r="118" spans="1:49" x14ac:dyDescent="0.3">
      <c r="A118" s="120">
        <v>45456</v>
      </c>
      <c r="B118" s="121" t="s">
        <v>1072</v>
      </c>
      <c r="C118" s="121" t="s">
        <v>1073</v>
      </c>
      <c r="D118" s="121" t="s">
        <v>1074</v>
      </c>
      <c r="E118" s="121" t="s">
        <v>1075</v>
      </c>
      <c r="F118" s="1">
        <v>190.436279296875</v>
      </c>
      <c r="G118" s="121" t="s">
        <v>1076</v>
      </c>
      <c r="H118" s="121" t="s">
        <v>1077</v>
      </c>
      <c r="I118" s="1">
        <v>653.260009765625</v>
      </c>
      <c r="J118" s="121" t="s">
        <v>1078</v>
      </c>
      <c r="K118" s="121" t="s">
        <v>1079</v>
      </c>
      <c r="M118" s="122">
        <v>45456</v>
      </c>
      <c r="N118" s="1">
        <f t="shared" si="24"/>
        <v>-8.2019654347305123E-3</v>
      </c>
      <c r="O118" s="1">
        <f t="shared" si="25"/>
        <v>-1.689913804378488E-3</v>
      </c>
      <c r="P118" s="1">
        <f t="shared" si="26"/>
        <v>-9.2518533037630002E-4</v>
      </c>
      <c r="Q118" s="1">
        <f t="shared" si="27"/>
        <v>9.2627101806737316E-3</v>
      </c>
      <c r="R118" s="1">
        <f t="shared" si="28"/>
        <v>6.1933800740229794E-4</v>
      </c>
      <c r="S118" s="1">
        <f t="shared" si="29"/>
        <v>1.1114041938910151E-3</v>
      </c>
      <c r="T118" s="1">
        <f t="shared" si="30"/>
        <v>2.2394679576574375E-3</v>
      </c>
      <c r="U118" s="1">
        <f t="shared" si="31"/>
        <v>2.4376690815546092E-2</v>
      </c>
      <c r="V118" s="1">
        <f t="shared" si="32"/>
        <v>1.7362351635285777E-2</v>
      </c>
      <c r="W118" s="1">
        <f t="shared" si="33"/>
        <v>-2.4746085007729984E-2</v>
      </c>
      <c r="Y118" s="1">
        <f t="shared" si="34"/>
        <v>-9.8669245670375428E-3</v>
      </c>
      <c r="Z118" s="1">
        <f t="shared" si="35"/>
        <v>-3.3548729366855191E-3</v>
      </c>
      <c r="AA118" s="1">
        <f t="shared" si="36"/>
        <v>-2.5901444626833313E-3</v>
      </c>
      <c r="AB118" s="1">
        <f t="shared" si="37"/>
        <v>7.5977510483667002E-3</v>
      </c>
      <c r="AC118" s="1">
        <f t="shared" si="38"/>
        <v>-1.0456211249047333E-3</v>
      </c>
      <c r="AD118" s="1">
        <f t="shared" si="39"/>
        <v>-5.5355493841601606E-4</v>
      </c>
      <c r="AE118" s="1">
        <f t="shared" si="40"/>
        <v>5.7450882535040634E-4</v>
      </c>
      <c r="AF118" s="1">
        <f t="shared" si="41"/>
        <v>2.2711731683239061E-2</v>
      </c>
      <c r="AG118" s="1">
        <f t="shared" si="42"/>
        <v>1.5697392502978746E-2</v>
      </c>
      <c r="AH118" s="1">
        <f t="shared" si="43"/>
        <v>-2.6411044140037015E-2</v>
      </c>
      <c r="AW118" s="28"/>
    </row>
    <row r="119" spans="1:49" x14ac:dyDescent="0.3">
      <c r="A119" s="120">
        <v>45457</v>
      </c>
      <c r="B119" s="121" t="s">
        <v>1080</v>
      </c>
      <c r="C119" s="121" t="s">
        <v>1081</v>
      </c>
      <c r="D119" s="121" t="s">
        <v>1082</v>
      </c>
      <c r="E119" s="121" t="s">
        <v>1083</v>
      </c>
      <c r="F119" s="121" t="s">
        <v>1084</v>
      </c>
      <c r="G119" s="121" t="s">
        <v>1085</v>
      </c>
      <c r="H119" s="121" t="s">
        <v>1086</v>
      </c>
      <c r="I119" s="121" t="s">
        <v>1087</v>
      </c>
      <c r="J119" s="121" t="s">
        <v>1088</v>
      </c>
      <c r="K119" s="121" t="s">
        <v>1089</v>
      </c>
      <c r="M119" s="122">
        <v>45457</v>
      </c>
      <c r="N119" s="1">
        <f t="shared" si="24"/>
        <v>1.9480539472972357E-2</v>
      </c>
      <c r="O119" s="1">
        <f t="shared" si="25"/>
        <v>-7.7352270166707714E-3</v>
      </c>
      <c r="P119" s="1">
        <f t="shared" si="26"/>
        <v>2.1755360215326399E-3</v>
      </c>
      <c r="Q119" s="1">
        <f t="shared" si="27"/>
        <v>2.5422832649603893E-3</v>
      </c>
      <c r="R119" s="1">
        <f t="shared" si="28"/>
        <v>6.1734883796498554E-3</v>
      </c>
      <c r="S119" s="1">
        <f t="shared" si="29"/>
        <v>4.8872257242201849E-3</v>
      </c>
      <c r="T119" s="1">
        <f t="shared" si="30"/>
        <v>1.3020098707360888E-2</v>
      </c>
      <c r="U119" s="1">
        <f t="shared" si="31"/>
        <v>9.5896722908226026E-3</v>
      </c>
      <c r="V119" s="1">
        <f t="shared" si="32"/>
        <v>-6.8476774740817512E-3</v>
      </c>
      <c r="W119" s="1">
        <f t="shared" si="33"/>
        <v>5.1619109593942898E-2</v>
      </c>
      <c r="Y119" s="1">
        <f t="shared" si="34"/>
        <v>1.7815580340665327E-2</v>
      </c>
      <c r="Z119" s="1">
        <f t="shared" si="35"/>
        <v>-9.4001861489778019E-3</v>
      </c>
      <c r="AA119" s="1">
        <f t="shared" si="36"/>
        <v>5.1057688922560873E-4</v>
      </c>
      <c r="AB119" s="1">
        <f t="shared" si="37"/>
        <v>8.7732413265335821E-4</v>
      </c>
      <c r="AC119" s="1">
        <f t="shared" si="38"/>
        <v>4.508529247342824E-3</v>
      </c>
      <c r="AD119" s="1">
        <f t="shared" si="39"/>
        <v>3.2222665919131536E-3</v>
      </c>
      <c r="AE119" s="1">
        <f t="shared" si="40"/>
        <v>1.1355139575053857E-2</v>
      </c>
      <c r="AF119" s="1">
        <f t="shared" si="41"/>
        <v>7.9247131585155721E-3</v>
      </c>
      <c r="AG119" s="1">
        <f t="shared" si="42"/>
        <v>-8.5126366063887817E-3</v>
      </c>
      <c r="AH119" s="1">
        <f t="shared" si="43"/>
        <v>4.9954150461635864E-2</v>
      </c>
      <c r="AW119" s="28"/>
    </row>
    <row r="120" spans="1:49" x14ac:dyDescent="0.3">
      <c r="A120" s="120">
        <v>45460</v>
      </c>
      <c r="B120" s="121" t="s">
        <v>1090</v>
      </c>
      <c r="C120" s="121" t="s">
        <v>1091</v>
      </c>
      <c r="D120" s="121" t="s">
        <v>1092</v>
      </c>
      <c r="E120" s="1">
        <v>176.59912109375</v>
      </c>
      <c r="F120" s="121" t="s">
        <v>1093</v>
      </c>
      <c r="G120" s="121" t="s">
        <v>1094</v>
      </c>
      <c r="H120" s="1">
        <v>445.775390625</v>
      </c>
      <c r="I120" s="121" t="s">
        <v>1095</v>
      </c>
      <c r="J120" s="121" t="s">
        <v>1096</v>
      </c>
      <c r="K120" s="121" t="s">
        <v>1097</v>
      </c>
      <c r="M120" s="122">
        <v>45460</v>
      </c>
      <c r="N120" s="1">
        <f t="shared" si="24"/>
        <v>-1.1045277006011978E-2</v>
      </c>
      <c r="O120" s="1">
        <f t="shared" si="25"/>
        <v>-2.4088242783297114E-2</v>
      </c>
      <c r="P120" s="1">
        <f t="shared" si="26"/>
        <v>-6.8144293824135439E-3</v>
      </c>
      <c r="Q120" s="1">
        <f t="shared" si="27"/>
        <v>-1.220471391771724E-2</v>
      </c>
      <c r="R120" s="1">
        <f t="shared" si="28"/>
        <v>1.0306816469783164E-2</v>
      </c>
      <c r="S120" s="1">
        <f t="shared" si="29"/>
        <v>-1.4193404559748889E-2</v>
      </c>
      <c r="T120" s="1">
        <f t="shared" si="30"/>
        <v>-4.5377833928169501E-3</v>
      </c>
      <c r="U120" s="1">
        <f t="shared" si="31"/>
        <v>1.4454847083447322E-2</v>
      </c>
      <c r="V120" s="1">
        <f t="shared" si="32"/>
        <v>3.4517193176169685E-2</v>
      </c>
      <c r="W120" s="1">
        <f t="shared" si="33"/>
        <v>-1.3860022086215456E-2</v>
      </c>
      <c r="Y120" s="1">
        <f t="shared" si="34"/>
        <v>-1.2710236138319009E-2</v>
      </c>
      <c r="Z120" s="1">
        <f t="shared" si="35"/>
        <v>-2.5753201915604144E-2</v>
      </c>
      <c r="AA120" s="1">
        <f t="shared" si="36"/>
        <v>-8.4793885147205744E-3</v>
      </c>
      <c r="AB120" s="1">
        <f t="shared" si="37"/>
        <v>-1.386967305002427E-2</v>
      </c>
      <c r="AC120" s="1">
        <f t="shared" si="38"/>
        <v>8.6418573374761332E-3</v>
      </c>
      <c r="AD120" s="1">
        <f t="shared" si="39"/>
        <v>-1.585836369205592E-2</v>
      </c>
      <c r="AE120" s="1">
        <f t="shared" si="40"/>
        <v>-6.2027425251239814E-3</v>
      </c>
      <c r="AF120" s="1">
        <f t="shared" si="41"/>
        <v>1.2789887951140291E-2</v>
      </c>
      <c r="AG120" s="1">
        <f t="shared" si="42"/>
        <v>3.2852234043862651E-2</v>
      </c>
      <c r="AH120" s="1">
        <f t="shared" si="43"/>
        <v>-1.5524981218522487E-2</v>
      </c>
      <c r="AW120" s="28"/>
    </row>
    <row r="121" spans="1:49" x14ac:dyDescent="0.3">
      <c r="A121" s="120">
        <v>45461</v>
      </c>
      <c r="B121" s="121" t="s">
        <v>1098</v>
      </c>
      <c r="C121" s="121" t="s">
        <v>1099</v>
      </c>
      <c r="D121" s="121" t="s">
        <v>1100</v>
      </c>
      <c r="E121" s="121" t="s">
        <v>1101</v>
      </c>
      <c r="F121" s="121" t="s">
        <v>1102</v>
      </c>
      <c r="G121" s="121" t="s">
        <v>1103</v>
      </c>
      <c r="H121" s="121" t="s">
        <v>1104</v>
      </c>
      <c r="I121" s="121" t="s">
        <v>1105</v>
      </c>
      <c r="J121" s="121" t="s">
        <v>1106</v>
      </c>
      <c r="K121" s="121" t="s">
        <v>1107</v>
      </c>
      <c r="M121" s="122">
        <v>45461</v>
      </c>
      <c r="N121" s="1">
        <f t="shared" si="24"/>
        <v>-2.1747683160818501E-2</v>
      </c>
      <c r="O121" s="1">
        <f t="shared" si="25"/>
        <v>4.5202181979619858E-2</v>
      </c>
      <c r="P121" s="1">
        <f t="shared" si="26"/>
        <v>1.7836847681062327E-2</v>
      </c>
      <c r="Q121" s="1">
        <f t="shared" si="27"/>
        <v>6.8869777518786816E-3</v>
      </c>
      <c r="R121" s="1">
        <f t="shared" si="28"/>
        <v>8.4413296140047993E-3</v>
      </c>
      <c r="S121" s="1">
        <f t="shared" si="29"/>
        <v>4.4148336208582155E-3</v>
      </c>
      <c r="T121" s="1">
        <f t="shared" si="30"/>
        <v>-1.4348333823778882E-3</v>
      </c>
      <c r="U121" s="1">
        <f t="shared" si="31"/>
        <v>-9.7310851480840958E-3</v>
      </c>
      <c r="V121" s="1">
        <f t="shared" si="32"/>
        <v>-3.6045430851491318E-2</v>
      </c>
      <c r="W121" s="1">
        <f t="shared" si="33"/>
        <v>-1.7957490517489079E-2</v>
      </c>
      <c r="Y121" s="1">
        <f t="shared" si="34"/>
        <v>-2.3412642293125532E-2</v>
      </c>
      <c r="Z121" s="1">
        <f t="shared" si="35"/>
        <v>4.3537222847312824E-2</v>
      </c>
      <c r="AA121" s="1">
        <f t="shared" si="36"/>
        <v>1.6171888548755297E-2</v>
      </c>
      <c r="AB121" s="1">
        <f t="shared" si="37"/>
        <v>5.2220186195716502E-3</v>
      </c>
      <c r="AC121" s="1">
        <f t="shared" si="38"/>
        <v>6.7763704816977679E-3</v>
      </c>
      <c r="AD121" s="1">
        <f t="shared" si="39"/>
        <v>2.7498744885511841E-3</v>
      </c>
      <c r="AE121" s="1">
        <f t="shared" si="40"/>
        <v>-3.0997925146849193E-3</v>
      </c>
      <c r="AF121" s="1">
        <f t="shared" si="41"/>
        <v>-1.1396044280391126E-2</v>
      </c>
      <c r="AG121" s="1">
        <f t="shared" si="42"/>
        <v>-3.7710389983798352E-2</v>
      </c>
      <c r="AH121" s="1">
        <f t="shared" si="43"/>
        <v>-1.9622449649796109E-2</v>
      </c>
      <c r="AW121" s="28"/>
    </row>
    <row r="122" spans="1:49" x14ac:dyDescent="0.3">
      <c r="A122" s="120">
        <v>45463</v>
      </c>
      <c r="B122" s="121" t="s">
        <v>1108</v>
      </c>
      <c r="C122" s="121" t="s">
        <v>1109</v>
      </c>
      <c r="D122" s="121" t="s">
        <v>1110</v>
      </c>
      <c r="E122" s="121" t="s">
        <v>1111</v>
      </c>
      <c r="F122" s="121" t="s">
        <v>1112</v>
      </c>
      <c r="G122" s="121" t="s">
        <v>1113</v>
      </c>
      <c r="H122" s="121" t="s">
        <v>1114</v>
      </c>
      <c r="I122" s="1">
        <v>679.030029296875</v>
      </c>
      <c r="J122" s="121" t="s">
        <v>1115</v>
      </c>
      <c r="K122" s="121" t="s">
        <v>1116</v>
      </c>
      <c r="M122" s="122">
        <v>45463</v>
      </c>
      <c r="N122" s="1">
        <f t="shared" si="24"/>
        <v>-1.0499260149685859E-2</v>
      </c>
      <c r="O122" s="1">
        <f t="shared" si="25"/>
        <v>-3.405489567870477E-3</v>
      </c>
      <c r="P122" s="1">
        <f t="shared" si="26"/>
        <v>1.5886019163884515E-2</v>
      </c>
      <c r="Q122" s="1">
        <f t="shared" si="27"/>
        <v>1.8712196840368903E-2</v>
      </c>
      <c r="R122" s="1">
        <f t="shared" si="28"/>
        <v>-1.2000992942049142E-2</v>
      </c>
      <c r="S122" s="1">
        <f t="shared" si="29"/>
        <v>-1.388913305923279E-2</v>
      </c>
      <c r="T122" s="1">
        <f t="shared" si="30"/>
        <v>9.1124397910770337E-3</v>
      </c>
      <c r="U122" s="1">
        <f t="shared" si="31"/>
        <v>1.0387180075706737E-2</v>
      </c>
      <c r="V122" s="1">
        <f t="shared" si="32"/>
        <v>-3.2720999002648452E-2</v>
      </c>
      <c r="W122" s="1">
        <f t="shared" si="33"/>
        <v>7.8994715207001184E-3</v>
      </c>
      <c r="Y122" s="1">
        <f t="shared" si="34"/>
        <v>-1.216421928199289E-2</v>
      </c>
      <c r="Z122" s="1">
        <f t="shared" si="35"/>
        <v>-5.070448700177508E-3</v>
      </c>
      <c r="AA122" s="1">
        <f t="shared" si="36"/>
        <v>1.4221060031577484E-2</v>
      </c>
      <c r="AB122" s="1">
        <f t="shared" si="37"/>
        <v>1.7047237708061873E-2</v>
      </c>
      <c r="AC122" s="1">
        <f t="shared" si="38"/>
        <v>-1.3665952074356173E-2</v>
      </c>
      <c r="AD122" s="1">
        <f t="shared" si="39"/>
        <v>-1.5554092191539821E-2</v>
      </c>
      <c r="AE122" s="1">
        <f t="shared" si="40"/>
        <v>7.4474806587700023E-3</v>
      </c>
      <c r="AF122" s="1">
        <f t="shared" si="41"/>
        <v>8.7222209433997066E-3</v>
      </c>
      <c r="AG122" s="1">
        <f t="shared" si="42"/>
        <v>-3.4385958134955485E-2</v>
      </c>
      <c r="AH122" s="1">
        <f t="shared" si="43"/>
        <v>6.234512388393087E-3</v>
      </c>
      <c r="AW122" s="28"/>
    </row>
    <row r="123" spans="1:49" x14ac:dyDescent="0.3">
      <c r="A123" s="120">
        <v>45464</v>
      </c>
      <c r="B123" s="121" t="s">
        <v>1117</v>
      </c>
      <c r="C123" s="121" t="s">
        <v>1118</v>
      </c>
      <c r="D123" s="121" t="s">
        <v>1119</v>
      </c>
      <c r="E123" s="121" t="s">
        <v>1120</v>
      </c>
      <c r="F123" s="121" t="s">
        <v>1121</v>
      </c>
      <c r="G123" s="121" t="s">
        <v>1122</v>
      </c>
      <c r="H123" s="1">
        <v>447.17724609375</v>
      </c>
      <c r="I123" s="121" t="s">
        <v>1123</v>
      </c>
      <c r="J123" s="121" t="s">
        <v>1124</v>
      </c>
      <c r="K123" s="121" t="s">
        <v>1125</v>
      </c>
      <c r="M123" s="122">
        <v>45464</v>
      </c>
      <c r="N123" s="1">
        <f t="shared" si="24"/>
        <v>3.1276584122942822E-3</v>
      </c>
      <c r="O123" s="1">
        <f t="shared" si="25"/>
        <v>-6.0967946756997444E-3</v>
      </c>
      <c r="P123" s="1">
        <f t="shared" si="26"/>
        <v>-1.8738006784045042E-2</v>
      </c>
      <c r="Q123" s="1">
        <f t="shared" si="27"/>
        <v>-2.2851977096718401E-3</v>
      </c>
      <c r="R123" s="1">
        <f t="shared" si="28"/>
        <v>1.3057505859500704E-2</v>
      </c>
      <c r="S123" s="1">
        <f t="shared" si="29"/>
        <v>8.3125113556364143E-3</v>
      </c>
      <c r="T123" s="1">
        <f t="shared" si="30"/>
        <v>-4.7021942294752008E-3</v>
      </c>
      <c r="U123" s="1">
        <f t="shared" si="31"/>
        <v>-2.5238548183656482E-2</v>
      </c>
      <c r="V123" s="1">
        <f t="shared" si="32"/>
        <v>-6.9179129358511574E-2</v>
      </c>
      <c r="W123" s="1">
        <f t="shared" si="33"/>
        <v>-2.3523229758244664E-3</v>
      </c>
      <c r="Y123" s="1">
        <f t="shared" si="34"/>
        <v>1.4626992799872511E-3</v>
      </c>
      <c r="Z123" s="1">
        <f t="shared" si="35"/>
        <v>-7.7617538080067758E-3</v>
      </c>
      <c r="AA123" s="1">
        <f t="shared" si="36"/>
        <v>-2.0402965916352073E-2</v>
      </c>
      <c r="AB123" s="1">
        <f t="shared" si="37"/>
        <v>-3.950156841978871E-3</v>
      </c>
      <c r="AC123" s="1">
        <f t="shared" si="38"/>
        <v>1.1392546727193673E-2</v>
      </c>
      <c r="AD123" s="1">
        <f t="shared" si="39"/>
        <v>6.6475522233293829E-3</v>
      </c>
      <c r="AE123" s="1">
        <f t="shared" si="40"/>
        <v>-6.3671533617822322E-3</v>
      </c>
      <c r="AF123" s="1">
        <f t="shared" si="41"/>
        <v>-2.6903507315963512E-2</v>
      </c>
      <c r="AG123" s="1">
        <f t="shared" si="42"/>
        <v>-7.0844088490818607E-2</v>
      </c>
      <c r="AH123" s="1">
        <f t="shared" si="43"/>
        <v>-4.0172821081314973E-3</v>
      </c>
      <c r="AW123" s="28"/>
    </row>
    <row r="124" spans="1:49" x14ac:dyDescent="0.3">
      <c r="A124" s="120">
        <v>45467</v>
      </c>
      <c r="B124" s="121" t="s">
        <v>1126</v>
      </c>
      <c r="C124" s="1">
        <v>160.25</v>
      </c>
      <c r="D124" s="121" t="s">
        <v>1127</v>
      </c>
      <c r="E124" s="121" t="s">
        <v>1128</v>
      </c>
      <c r="F124" s="121" t="s">
        <v>1129</v>
      </c>
      <c r="G124" s="1">
        <v>497.590087890625</v>
      </c>
      <c r="H124" s="121" t="s">
        <v>1130</v>
      </c>
      <c r="I124" s="1">
        <v>669.02001953125</v>
      </c>
      <c r="J124" s="121" t="s">
        <v>1131</v>
      </c>
      <c r="K124" s="121" t="s">
        <v>1132</v>
      </c>
      <c r="M124" s="122">
        <v>45467</v>
      </c>
      <c r="N124" s="1">
        <f t="shared" si="24"/>
        <v>4.458243611519864E-3</v>
      </c>
      <c r="O124" s="1">
        <f t="shared" si="25"/>
        <v>0</v>
      </c>
      <c r="P124" s="1">
        <f t="shared" si="26"/>
        <v>4.1407335444318674E-3</v>
      </c>
      <c r="Q124" s="1">
        <f t="shared" si="27"/>
        <v>2.6484744320778807E-2</v>
      </c>
      <c r="R124" s="1">
        <f t="shared" si="28"/>
        <v>-4.0810849831113549E-3</v>
      </c>
      <c r="S124" s="1">
        <f t="shared" si="29"/>
        <v>2.3160815697066638E-2</v>
      </c>
      <c r="T124" s="1">
        <f t="shared" si="30"/>
        <v>7.300040507101908E-3</v>
      </c>
      <c r="U124" s="1">
        <f t="shared" si="31"/>
        <v>5.054249343274299E-3</v>
      </c>
      <c r="V124" s="1">
        <f t="shared" si="32"/>
        <v>6.5379555667795769E-2</v>
      </c>
      <c r="W124" s="1">
        <f t="shared" si="33"/>
        <v>2.5790114652127268E-2</v>
      </c>
      <c r="Y124" s="1">
        <f t="shared" si="34"/>
        <v>2.7932844792128327E-3</v>
      </c>
      <c r="Z124" s="1">
        <f t="shared" si="35"/>
        <v>-1.6649591323070311E-3</v>
      </c>
      <c r="AA124" s="1">
        <f t="shared" si="36"/>
        <v>2.475774412124836E-3</v>
      </c>
      <c r="AB124" s="1">
        <f t="shared" si="37"/>
        <v>2.4819785188471777E-2</v>
      </c>
      <c r="AC124" s="1">
        <f t="shared" si="38"/>
        <v>-5.7460441154183863E-3</v>
      </c>
      <c r="AD124" s="1">
        <f t="shared" si="39"/>
        <v>2.1495856564759608E-2</v>
      </c>
      <c r="AE124" s="1">
        <f t="shared" si="40"/>
        <v>5.6350813747948767E-3</v>
      </c>
      <c r="AF124" s="1">
        <f t="shared" si="41"/>
        <v>3.3892902109672676E-3</v>
      </c>
      <c r="AG124" s="1">
        <f t="shared" si="42"/>
        <v>6.3714596535488735E-2</v>
      </c>
      <c r="AH124" s="1">
        <f t="shared" si="43"/>
        <v>2.4125155519820238E-2</v>
      </c>
      <c r="AW124" s="28"/>
    </row>
    <row r="125" spans="1:49" x14ac:dyDescent="0.3">
      <c r="A125" s="120">
        <v>45468</v>
      </c>
      <c r="B125" s="121" t="s">
        <v>1133</v>
      </c>
      <c r="C125" s="1">
        <v>160.25</v>
      </c>
      <c r="D125" s="121" t="s">
        <v>1134</v>
      </c>
      <c r="E125" s="121" t="s">
        <v>1135</v>
      </c>
      <c r="F125" s="121" t="s">
        <v>1136</v>
      </c>
      <c r="G125" s="121" t="s">
        <v>1137</v>
      </c>
      <c r="H125" s="121" t="s">
        <v>1138</v>
      </c>
      <c r="I125" s="121" t="s">
        <v>1139</v>
      </c>
      <c r="J125" s="121" t="s">
        <v>1140</v>
      </c>
      <c r="K125" s="121" t="s">
        <v>1141</v>
      </c>
      <c r="M125" s="122">
        <v>45468</v>
      </c>
      <c r="N125" s="1">
        <f t="shared" si="24"/>
        <v>1.9796071088856147E-2</v>
      </c>
      <c r="O125" s="1">
        <f t="shared" si="25"/>
        <v>-1.7055744142512118E-2</v>
      </c>
      <c r="P125" s="1">
        <f t="shared" si="26"/>
        <v>3.8272887184110774E-2</v>
      </c>
      <c r="Q125" s="1">
        <f t="shared" si="27"/>
        <v>-8.1542901014300092E-4</v>
      </c>
      <c r="R125" s="1">
        <f t="shared" si="28"/>
        <v>-3.2364248887841404E-3</v>
      </c>
      <c r="S125" s="1">
        <f t="shared" si="29"/>
        <v>4.9231773632763629E-3</v>
      </c>
      <c r="T125" s="1">
        <f t="shared" si="30"/>
        <v>2.6796418437102201E-3</v>
      </c>
      <c r="U125" s="1">
        <f t="shared" si="31"/>
        <v>7.8217262594085374E-3</v>
      </c>
      <c r="V125" s="1">
        <f t="shared" si="32"/>
        <v>2.455525459102569E-3</v>
      </c>
      <c r="W125" s="1">
        <f t="shared" si="33"/>
        <v>4.7022052078928588E-2</v>
      </c>
      <c r="Y125" s="1">
        <f t="shared" si="34"/>
        <v>1.8131111956549116E-2</v>
      </c>
      <c r="Z125" s="1">
        <f t="shared" si="35"/>
        <v>-1.8720703274819148E-2</v>
      </c>
      <c r="AA125" s="1">
        <f t="shared" si="36"/>
        <v>3.660792805180374E-2</v>
      </c>
      <c r="AB125" s="1">
        <f t="shared" si="37"/>
        <v>-2.4803881424500318E-3</v>
      </c>
      <c r="AC125" s="1">
        <f t="shared" si="38"/>
        <v>-4.9013840210911713E-3</v>
      </c>
      <c r="AD125" s="1">
        <f t="shared" si="39"/>
        <v>3.2582182309693316E-3</v>
      </c>
      <c r="AE125" s="1">
        <f t="shared" si="40"/>
        <v>1.014682711403189E-3</v>
      </c>
      <c r="AF125" s="1">
        <f t="shared" si="41"/>
        <v>6.156767127101506E-3</v>
      </c>
      <c r="AG125" s="1">
        <f t="shared" si="42"/>
        <v>7.9056632679553782E-4</v>
      </c>
      <c r="AH125" s="1">
        <f t="shared" si="43"/>
        <v>4.5357092946621554E-2</v>
      </c>
      <c r="AW125" s="28"/>
    </row>
    <row r="126" spans="1:49" x14ac:dyDescent="0.3">
      <c r="A126" s="120">
        <v>45469</v>
      </c>
      <c r="B126" s="121" t="s">
        <v>1142</v>
      </c>
      <c r="C126" s="121" t="s">
        <v>1143</v>
      </c>
      <c r="D126" s="121" t="s">
        <v>1144</v>
      </c>
      <c r="E126" s="121" t="s">
        <v>1145</v>
      </c>
      <c r="F126" s="121" t="s">
        <v>1146</v>
      </c>
      <c r="G126" s="121" t="s">
        <v>1147</v>
      </c>
      <c r="H126" s="1">
        <v>449.54345703125</v>
      </c>
      <c r="I126" s="121" t="s">
        <v>1148</v>
      </c>
      <c r="J126" s="121" t="s">
        <v>1149</v>
      </c>
      <c r="K126" s="121" t="s">
        <v>1150</v>
      </c>
      <c r="M126" s="122">
        <v>45469</v>
      </c>
      <c r="N126" s="1">
        <f t="shared" si="24"/>
        <v>3.9780802633631691E-3</v>
      </c>
      <c r="O126" s="1">
        <f t="shared" si="25"/>
        <v>1.2176472756363672E-2</v>
      </c>
      <c r="P126" s="1">
        <f t="shared" si="26"/>
        <v>2.1663369127086302E-2</v>
      </c>
      <c r="Q126" s="1">
        <f t="shared" si="27"/>
        <v>8.2861759977143276E-3</v>
      </c>
      <c r="R126" s="1">
        <f t="shared" si="28"/>
        <v>8.7746861133252627E-3</v>
      </c>
      <c r="S126" s="1">
        <f t="shared" si="29"/>
        <v>1.2472526696487957E-2</v>
      </c>
      <c r="T126" s="1">
        <f t="shared" si="30"/>
        <v>1.5248397842035279E-3</v>
      </c>
      <c r="U126" s="1">
        <f t="shared" si="31"/>
        <v>9.7649495433607472E-3</v>
      </c>
      <c r="V126" s="1">
        <f t="shared" si="32"/>
        <v>-1.9250584494730823E-2</v>
      </c>
      <c r="W126" s="1">
        <f t="shared" si="33"/>
        <v>5.3328198180533221E-3</v>
      </c>
      <c r="Y126" s="1">
        <f t="shared" si="34"/>
        <v>2.3131211310561377E-3</v>
      </c>
      <c r="Z126" s="1">
        <f t="shared" si="35"/>
        <v>1.0511513624056642E-2</v>
      </c>
      <c r="AA126" s="1">
        <f t="shared" si="36"/>
        <v>1.9998409994779271E-2</v>
      </c>
      <c r="AB126" s="1">
        <f t="shared" si="37"/>
        <v>6.6212168654072963E-3</v>
      </c>
      <c r="AC126" s="1">
        <f t="shared" si="38"/>
        <v>7.1097269810182313E-3</v>
      </c>
      <c r="AD126" s="1">
        <f t="shared" si="39"/>
        <v>1.0807567564180926E-2</v>
      </c>
      <c r="AE126" s="1">
        <f t="shared" si="40"/>
        <v>-1.4011934810350323E-4</v>
      </c>
      <c r="AF126" s="1">
        <f t="shared" si="41"/>
        <v>8.0999904110537167E-3</v>
      </c>
      <c r="AG126" s="1">
        <f t="shared" si="42"/>
        <v>-2.0915543627037854E-2</v>
      </c>
      <c r="AH126" s="1">
        <f t="shared" si="43"/>
        <v>3.6678606857462907E-3</v>
      </c>
      <c r="AW126" s="28"/>
    </row>
    <row r="127" spans="1:49" x14ac:dyDescent="0.3">
      <c r="A127" s="120">
        <v>45470</v>
      </c>
      <c r="B127" s="121" t="s">
        <v>1151</v>
      </c>
      <c r="C127" s="121" t="s">
        <v>1152</v>
      </c>
      <c r="D127" s="121" t="s">
        <v>1153</v>
      </c>
      <c r="E127" s="121" t="s">
        <v>1154</v>
      </c>
      <c r="F127" s="121" t="s">
        <v>1155</v>
      </c>
      <c r="G127" s="121" t="s">
        <v>1156</v>
      </c>
      <c r="H127" s="121" t="s">
        <v>1157</v>
      </c>
      <c r="I127" s="121" t="s">
        <v>1158</v>
      </c>
      <c r="J127" s="121" t="s">
        <v>1159</v>
      </c>
      <c r="K127" s="121" t="s">
        <v>1160</v>
      </c>
      <c r="M127" s="122">
        <v>45470</v>
      </c>
      <c r="N127" s="1">
        <f t="shared" si="24"/>
        <v>-1.6387752806709909E-2</v>
      </c>
      <c r="O127" s="1">
        <f t="shared" si="25"/>
        <v>1.7036009037360987E-2</v>
      </c>
      <c r="P127" s="1">
        <f t="shared" si="26"/>
        <v>-2.3524511213105399E-2</v>
      </c>
      <c r="Q127" s="1">
        <f t="shared" si="27"/>
        <v>-1.7739080995460194E-2</v>
      </c>
      <c r="R127" s="1">
        <f t="shared" si="28"/>
        <v>1.5395170630661767E-2</v>
      </c>
      <c r="S127" s="1">
        <f t="shared" si="29"/>
        <v>-2.996960339745916E-2</v>
      </c>
      <c r="T127" s="1">
        <f t="shared" si="30"/>
        <v>-1.3114183274537719E-2</v>
      </c>
      <c r="U127" s="1">
        <f t="shared" si="31"/>
        <v>-1.392000486196142E-2</v>
      </c>
      <c r="V127" s="1">
        <f t="shared" si="32"/>
        <v>-3.6358735818287401E-3</v>
      </c>
      <c r="W127" s="1">
        <f t="shared" si="33"/>
        <v>2.3273813203087477E-3</v>
      </c>
      <c r="Y127" s="1">
        <f t="shared" si="34"/>
        <v>-1.805271193901694E-2</v>
      </c>
      <c r="Z127" s="1">
        <f t="shared" si="35"/>
        <v>1.5371049905053957E-2</v>
      </c>
      <c r="AA127" s="1">
        <f t="shared" si="36"/>
        <v>-2.518947034541243E-2</v>
      </c>
      <c r="AB127" s="1">
        <f t="shared" si="37"/>
        <v>-1.9404040127767225E-2</v>
      </c>
      <c r="AC127" s="1">
        <f t="shared" si="38"/>
        <v>1.3730211498354737E-2</v>
      </c>
      <c r="AD127" s="1">
        <f t="shared" si="39"/>
        <v>-3.1634562529766194E-2</v>
      </c>
      <c r="AE127" s="1">
        <f t="shared" si="40"/>
        <v>-1.4779142406844749E-2</v>
      </c>
      <c r="AF127" s="1">
        <f t="shared" si="41"/>
        <v>-1.5584963994268451E-2</v>
      </c>
      <c r="AG127" s="1">
        <f t="shared" si="42"/>
        <v>-5.3008327141357715E-3</v>
      </c>
      <c r="AH127" s="1">
        <f t="shared" si="43"/>
        <v>6.6242218800171659E-4</v>
      </c>
      <c r="AW127" s="28"/>
    </row>
    <row r="128" spans="1:49" x14ac:dyDescent="0.3">
      <c r="A128" s="120">
        <v>45471</v>
      </c>
      <c r="B128" s="121" t="s">
        <v>1161</v>
      </c>
      <c r="C128" s="121" t="s">
        <v>1162</v>
      </c>
      <c r="D128" s="1">
        <v>193.25</v>
      </c>
      <c r="E128" s="121" t="s">
        <v>1163</v>
      </c>
      <c r="F128" s="121" t="s">
        <v>1164</v>
      </c>
      <c r="G128" s="121" t="s">
        <v>1165</v>
      </c>
      <c r="H128" s="121" t="s">
        <v>1166</v>
      </c>
      <c r="I128" s="121" t="s">
        <v>1167</v>
      </c>
      <c r="J128" s="121" t="s">
        <v>1168</v>
      </c>
      <c r="K128" s="121" t="s">
        <v>1169</v>
      </c>
      <c r="M128" s="122">
        <v>45471</v>
      </c>
      <c r="N128" s="1">
        <f t="shared" si="24"/>
        <v>2.8689054217958886E-2</v>
      </c>
      <c r="O128" s="1">
        <f t="shared" si="25"/>
        <v>-2.8260737552183321E-2</v>
      </c>
      <c r="P128" s="1">
        <f t="shared" si="26"/>
        <v>2.0233739225557316E-2</v>
      </c>
      <c r="Q128" s="1">
        <f t="shared" si="27"/>
        <v>4.6009680932192435E-3</v>
      </c>
      <c r="R128" s="1">
        <f t="shared" si="28"/>
        <v>1.5648716190928301E-2</v>
      </c>
      <c r="S128" s="1">
        <f t="shared" si="29"/>
        <v>9.1185994647692548E-4</v>
      </c>
      <c r="T128" s="1">
        <f t="shared" si="30"/>
        <v>2.1645637655117986E-2</v>
      </c>
      <c r="U128" s="1">
        <f t="shared" si="31"/>
        <v>-1.8836178480396493E-3</v>
      </c>
      <c r="V128" s="1">
        <f t="shared" si="32"/>
        <v>6.1330589086586486E-3</v>
      </c>
      <c r="W128" s="1">
        <f t="shared" si="33"/>
        <v>5.8779833603008189E-2</v>
      </c>
      <c r="Y128" s="1">
        <f t="shared" si="34"/>
        <v>2.7024095085651855E-2</v>
      </c>
      <c r="Z128" s="1">
        <f t="shared" si="35"/>
        <v>-2.9925696684490351E-2</v>
      </c>
      <c r="AA128" s="1">
        <f t="shared" si="36"/>
        <v>1.8568780093250286E-2</v>
      </c>
      <c r="AB128" s="1">
        <f t="shared" si="37"/>
        <v>2.9360089609122121E-3</v>
      </c>
      <c r="AC128" s="1">
        <f t="shared" si="38"/>
        <v>1.398375705862127E-2</v>
      </c>
      <c r="AD128" s="1">
        <f t="shared" si="39"/>
        <v>-7.5309918583010566E-4</v>
      </c>
      <c r="AE128" s="1">
        <f t="shared" si="40"/>
        <v>1.9980678522810956E-2</v>
      </c>
      <c r="AF128" s="1">
        <f t="shared" si="41"/>
        <v>-3.5485769803466805E-3</v>
      </c>
      <c r="AG128" s="1">
        <f t="shared" si="42"/>
        <v>4.4680997763516172E-3</v>
      </c>
      <c r="AH128" s="1">
        <f t="shared" si="43"/>
        <v>5.7114874470701155E-2</v>
      </c>
      <c r="AW128" s="28"/>
    </row>
    <row r="129" spans="1:49" x14ac:dyDescent="0.3">
      <c r="A129" s="120">
        <v>45474</v>
      </c>
      <c r="B129" s="121" t="s">
        <v>1170</v>
      </c>
      <c r="C129" s="121" t="s">
        <v>1171</v>
      </c>
      <c r="D129" s="121" t="s">
        <v>1172</v>
      </c>
      <c r="E129" s="121" t="s">
        <v>1173</v>
      </c>
      <c r="F129" s="121" t="s">
        <v>1174</v>
      </c>
      <c r="G129" s="121" t="s">
        <v>1175</v>
      </c>
      <c r="H129" s="121" t="s">
        <v>1176</v>
      </c>
      <c r="I129" s="121" t="s">
        <v>1177</v>
      </c>
      <c r="J129" s="121" t="s">
        <v>1178</v>
      </c>
      <c r="K129" s="121" t="s">
        <v>1179</v>
      </c>
      <c r="M129" s="122">
        <v>45474</v>
      </c>
      <c r="N129" s="1">
        <f t="shared" si="24"/>
        <v>1.6109451442075862E-2</v>
      </c>
      <c r="O129" s="1">
        <f t="shared" si="25"/>
        <v>4.1123776705389123E-2</v>
      </c>
      <c r="P129" s="1">
        <f t="shared" si="26"/>
        <v>1.4098939854947985E-2</v>
      </c>
      <c r="Q129" s="1">
        <f t="shared" si="27"/>
        <v>1.2220874357083415E-2</v>
      </c>
      <c r="R129" s="1">
        <f t="shared" si="28"/>
        <v>1.6317879807549458E-2</v>
      </c>
      <c r="S129" s="1">
        <f t="shared" si="29"/>
        <v>9.5053536900620451E-3</v>
      </c>
      <c r="T129" s="1">
        <f t="shared" si="30"/>
        <v>5.5676481307300549E-3</v>
      </c>
      <c r="U129" s="1">
        <f t="shared" si="31"/>
        <v>8.8236987590081823E-3</v>
      </c>
      <c r="V129" s="1">
        <f t="shared" si="32"/>
        <v>-1.320025460806234E-2</v>
      </c>
      <c r="W129" s="1">
        <f t="shared" si="33"/>
        <v>9.7101950309478449E-2</v>
      </c>
      <c r="Y129" s="1">
        <f t="shared" si="34"/>
        <v>1.4444492309768832E-2</v>
      </c>
      <c r="Z129" s="1">
        <f t="shared" si="35"/>
        <v>3.9458817573082089E-2</v>
      </c>
      <c r="AA129" s="1">
        <f t="shared" si="36"/>
        <v>1.2433980722640955E-2</v>
      </c>
      <c r="AB129" s="1">
        <f t="shared" si="37"/>
        <v>1.0555915224776384E-2</v>
      </c>
      <c r="AC129" s="1">
        <f t="shared" si="38"/>
        <v>1.4652920675242428E-2</v>
      </c>
      <c r="AD129" s="1">
        <f t="shared" si="39"/>
        <v>7.8403945577550146E-3</v>
      </c>
      <c r="AE129" s="1">
        <f t="shared" si="40"/>
        <v>3.9026889984230236E-3</v>
      </c>
      <c r="AF129" s="1">
        <f t="shared" si="41"/>
        <v>7.1587396267011509E-3</v>
      </c>
      <c r="AG129" s="1">
        <f t="shared" si="42"/>
        <v>-1.486521374036937E-2</v>
      </c>
      <c r="AH129" s="1">
        <f t="shared" si="43"/>
        <v>9.5436991177171415E-2</v>
      </c>
      <c r="AW129" s="28"/>
    </row>
    <row r="130" spans="1:49" x14ac:dyDescent="0.3">
      <c r="A130" s="120">
        <v>45475</v>
      </c>
      <c r="B130" s="121" t="s">
        <v>1180</v>
      </c>
      <c r="C130" s="121" t="s">
        <v>1181</v>
      </c>
      <c r="D130" s="1">
        <v>200</v>
      </c>
      <c r="E130" s="121" t="s">
        <v>1182</v>
      </c>
      <c r="F130" s="121" t="s">
        <v>1183</v>
      </c>
      <c r="G130" s="121" t="s">
        <v>1184</v>
      </c>
      <c r="H130" s="121" t="s">
        <v>1185</v>
      </c>
      <c r="I130" s="121" t="s">
        <v>1186</v>
      </c>
      <c r="J130" s="121" t="s">
        <v>1187</v>
      </c>
      <c r="K130" s="121" t="s">
        <v>1188</v>
      </c>
      <c r="M130" s="122">
        <v>45475</v>
      </c>
      <c r="N130" s="1">
        <f t="shared" si="24"/>
        <v>5.7942249474698332E-3</v>
      </c>
      <c r="O130" s="1">
        <f t="shared" si="25"/>
        <v>-2.4984240946822993E-3</v>
      </c>
      <c r="P130" s="1">
        <f t="shared" si="26"/>
        <v>-1.2123208336194041E-2</v>
      </c>
      <c r="Q130" s="1">
        <f t="shared" si="27"/>
        <v>3.1262280485636622E-3</v>
      </c>
      <c r="R130" s="1">
        <f t="shared" si="28"/>
        <v>-6.7060359509879997E-4</v>
      </c>
      <c r="S130" s="1">
        <f t="shared" si="29"/>
        <v>9.0247447633835776E-4</v>
      </c>
      <c r="T130" s="1">
        <f t="shared" si="30"/>
        <v>3.2389715582079055E-3</v>
      </c>
      <c r="U130" s="1">
        <f t="shared" si="31"/>
        <v>4.3022078383651539E-3</v>
      </c>
      <c r="V130" s="1">
        <f t="shared" si="32"/>
        <v>4.4717628102219714E-2</v>
      </c>
      <c r="W130" s="1">
        <f t="shared" si="33"/>
        <v>6.3373048995416667E-2</v>
      </c>
      <c r="Y130" s="1">
        <f t="shared" si="34"/>
        <v>4.1292658151628019E-3</v>
      </c>
      <c r="Z130" s="1">
        <f t="shared" si="35"/>
        <v>-4.1633832269893306E-3</v>
      </c>
      <c r="AA130" s="1">
        <f t="shared" si="36"/>
        <v>-1.3788167468501072E-2</v>
      </c>
      <c r="AB130" s="1">
        <f t="shared" si="37"/>
        <v>1.4612689162566311E-3</v>
      </c>
      <c r="AC130" s="1">
        <f t="shared" si="38"/>
        <v>-2.3355627274058311E-3</v>
      </c>
      <c r="AD130" s="1">
        <f t="shared" si="39"/>
        <v>-7.6248465596867338E-4</v>
      </c>
      <c r="AE130" s="1">
        <f t="shared" si="40"/>
        <v>1.5740124259008743E-3</v>
      </c>
      <c r="AF130" s="1">
        <f t="shared" si="41"/>
        <v>2.6372487060581226E-3</v>
      </c>
      <c r="AG130" s="1">
        <f t="shared" si="42"/>
        <v>4.305266896991268E-2</v>
      </c>
      <c r="AH130" s="1">
        <f t="shared" si="43"/>
        <v>6.1708089863109633E-2</v>
      </c>
      <c r="AW130" s="28"/>
    </row>
    <row r="131" spans="1:49" x14ac:dyDescent="0.3">
      <c r="A131" s="120">
        <v>45476</v>
      </c>
      <c r="B131" s="121" t="s">
        <v>1189</v>
      </c>
      <c r="C131" s="121" t="s">
        <v>1190</v>
      </c>
      <c r="D131" s="121" t="s">
        <v>1191</v>
      </c>
      <c r="E131" s="121" t="s">
        <v>1192</v>
      </c>
      <c r="F131" s="121" t="s">
        <v>1193</v>
      </c>
      <c r="G131" s="121" t="s">
        <v>1194</v>
      </c>
      <c r="H131" s="121" t="s">
        <v>1195</v>
      </c>
      <c r="I131" s="1">
        <v>682.510009765625</v>
      </c>
      <c r="J131" s="121" t="s">
        <v>1196</v>
      </c>
      <c r="K131" s="121" t="s">
        <v>1197</v>
      </c>
      <c r="M131" s="122">
        <v>45476</v>
      </c>
      <c r="N131" s="1">
        <f t="shared" si="24"/>
        <v>2.1390001677963115E-2</v>
      </c>
      <c r="O131" s="1">
        <f t="shared" si="25"/>
        <v>4.7656428372086189E-2</v>
      </c>
      <c r="P131" s="1">
        <f t="shared" si="26"/>
        <v>1.2123208336194142E-2</v>
      </c>
      <c r="Q131" s="1">
        <f t="shared" si="27"/>
        <v>2.5398498301586567E-2</v>
      </c>
      <c r="R131" s="1">
        <f t="shared" si="28"/>
        <v>-1.333910749081146E-2</v>
      </c>
      <c r="S131" s="1">
        <f t="shared" si="29"/>
        <v>5.7070040587354549E-2</v>
      </c>
      <c r="T131" s="1">
        <f t="shared" si="30"/>
        <v>1.4628666648470026E-2</v>
      </c>
      <c r="U131" s="1">
        <f t="shared" si="31"/>
        <v>1.1856025220541208E-2</v>
      </c>
      <c r="V131" s="1">
        <f t="shared" si="32"/>
        <v>-1.9283567662235861E-2</v>
      </c>
      <c r="W131" s="1">
        <f t="shared" si="33"/>
        <v>2.0606882284371148E-2</v>
      </c>
      <c r="Y131" s="1">
        <f t="shared" si="34"/>
        <v>1.9725042545656084E-2</v>
      </c>
      <c r="Z131" s="1">
        <f t="shared" si="35"/>
        <v>4.5991469239779155E-2</v>
      </c>
      <c r="AA131" s="1">
        <f t="shared" si="36"/>
        <v>1.0458249203887111E-2</v>
      </c>
      <c r="AB131" s="1">
        <f t="shared" si="37"/>
        <v>2.3733539169279536E-2</v>
      </c>
      <c r="AC131" s="1">
        <f t="shared" si="38"/>
        <v>-1.5004066623118491E-2</v>
      </c>
      <c r="AD131" s="1">
        <f t="shared" si="39"/>
        <v>5.5405081455047515E-2</v>
      </c>
      <c r="AE131" s="1">
        <f t="shared" si="40"/>
        <v>1.2963707516162996E-2</v>
      </c>
      <c r="AF131" s="1">
        <f t="shared" si="41"/>
        <v>1.0191066088234177E-2</v>
      </c>
      <c r="AG131" s="1">
        <f t="shared" si="42"/>
        <v>-2.0948526794542892E-2</v>
      </c>
      <c r="AH131" s="1">
        <f t="shared" si="43"/>
        <v>1.8941923152064118E-2</v>
      </c>
      <c r="AW131" s="28"/>
    </row>
    <row r="132" spans="1:49" x14ac:dyDescent="0.3">
      <c r="A132" s="120">
        <v>45478</v>
      </c>
      <c r="B132" s="121" t="s">
        <v>1198</v>
      </c>
      <c r="C132" s="121" t="s">
        <v>1199</v>
      </c>
      <c r="D132" s="1">
        <v>200</v>
      </c>
      <c r="E132" s="121" t="s">
        <v>1200</v>
      </c>
      <c r="F132" s="121" t="s">
        <v>1201</v>
      </c>
      <c r="G132" s="121" t="s">
        <v>1202</v>
      </c>
      <c r="H132" s="121" t="s">
        <v>1203</v>
      </c>
      <c r="I132" s="121" t="s">
        <v>1204</v>
      </c>
      <c r="J132" s="121" t="s">
        <v>1205</v>
      </c>
      <c r="K132" s="121" t="s">
        <v>1206</v>
      </c>
      <c r="M132" s="122">
        <v>45478</v>
      </c>
      <c r="N132" s="1">
        <f t="shared" si="24"/>
        <v>6.5175913765992194E-3</v>
      </c>
      <c r="O132" s="1">
        <f t="shared" si="25"/>
        <v>3.8739597670769503E-2</v>
      </c>
      <c r="P132" s="1">
        <f t="shared" si="26"/>
        <v>-3.5563498917135007E-3</v>
      </c>
      <c r="Q132" s="1">
        <f t="shared" si="27"/>
        <v>-8.2713820536978334E-3</v>
      </c>
      <c r="R132" s="1">
        <f t="shared" si="28"/>
        <v>1.8538534565238349E-3</v>
      </c>
      <c r="S132" s="1">
        <f t="shared" si="29"/>
        <v>-1.9809235435775081E-2</v>
      </c>
      <c r="T132" s="1">
        <f t="shared" si="30"/>
        <v>-2.8271294085755075E-3</v>
      </c>
      <c r="U132" s="1">
        <f t="shared" si="31"/>
        <v>-7.1346855988076103E-3</v>
      </c>
      <c r="V132" s="1">
        <f t="shared" si="32"/>
        <v>1.8659569269166329E-2</v>
      </c>
      <c r="W132" s="1">
        <f t="shared" si="33"/>
        <v>5.6297898765420651E-3</v>
      </c>
      <c r="Y132" s="1">
        <f t="shared" si="34"/>
        <v>4.852632244292188E-3</v>
      </c>
      <c r="Z132" s="1">
        <f t="shared" si="35"/>
        <v>3.7074638538462469E-2</v>
      </c>
      <c r="AA132" s="1">
        <f t="shared" si="36"/>
        <v>-5.2213090240205316E-3</v>
      </c>
      <c r="AB132" s="1">
        <f t="shared" si="37"/>
        <v>-9.9363411860048639E-3</v>
      </c>
      <c r="AC132" s="1">
        <f t="shared" si="38"/>
        <v>1.8889432421680379E-4</v>
      </c>
      <c r="AD132" s="1">
        <f t="shared" si="39"/>
        <v>-2.1474194568082111E-2</v>
      </c>
      <c r="AE132" s="1">
        <f t="shared" si="40"/>
        <v>-4.4920885408825384E-3</v>
      </c>
      <c r="AF132" s="1">
        <f t="shared" si="41"/>
        <v>-8.7996447311146416E-3</v>
      </c>
      <c r="AG132" s="1">
        <f t="shared" si="42"/>
        <v>1.6994610136859298E-2</v>
      </c>
      <c r="AH132" s="1">
        <f t="shared" si="43"/>
        <v>3.9648307442350338E-3</v>
      </c>
      <c r="AW132" s="28"/>
    </row>
    <row r="133" spans="1:49" x14ac:dyDescent="0.3">
      <c r="A133" s="120">
        <v>45481</v>
      </c>
      <c r="B133" s="1">
        <v>227.056884765625</v>
      </c>
      <c r="C133" s="121" t="s">
        <v>1207</v>
      </c>
      <c r="D133" s="121" t="s">
        <v>1208</v>
      </c>
      <c r="E133" s="121" t="s">
        <v>1209</v>
      </c>
      <c r="F133" s="121" t="s">
        <v>1210</v>
      </c>
      <c r="G133" s="121" t="s">
        <v>1211</v>
      </c>
      <c r="H133" s="1">
        <v>463.5419921875</v>
      </c>
      <c r="I133" s="1">
        <v>685.739990234375</v>
      </c>
      <c r="J133" s="121" t="s">
        <v>1212</v>
      </c>
      <c r="K133" s="121" t="s">
        <v>1213</v>
      </c>
      <c r="M133" s="122">
        <v>45481</v>
      </c>
      <c r="N133" s="1">
        <f t="shared" si="24"/>
        <v>3.7677245250064399E-3</v>
      </c>
      <c r="O133" s="1">
        <f t="shared" si="25"/>
        <v>-8.9378953009194677E-3</v>
      </c>
      <c r="P133" s="1">
        <f t="shared" si="26"/>
        <v>2.50874511812025E-4</v>
      </c>
      <c r="Q133" s="1">
        <f t="shared" si="27"/>
        <v>-2.6454723300717455E-4</v>
      </c>
      <c r="R133" s="1">
        <f t="shared" si="28"/>
        <v>1.1918796907738165E-2</v>
      </c>
      <c r="S133" s="1">
        <f t="shared" si="29"/>
        <v>1.2838836604657422E-3</v>
      </c>
      <c r="T133" s="1">
        <f t="shared" si="30"/>
        <v>-1.4474524000707653E-2</v>
      </c>
      <c r="U133" s="1">
        <f t="shared" si="31"/>
        <v>0</v>
      </c>
      <c r="V133" s="1">
        <f t="shared" si="32"/>
        <v>2.4502563249627789E-2</v>
      </c>
      <c r="W133" s="1">
        <f t="shared" si="33"/>
        <v>3.6450885897888419E-2</v>
      </c>
      <c r="Y133" s="1">
        <f t="shared" si="34"/>
        <v>2.1027653926994089E-3</v>
      </c>
      <c r="Z133" s="1">
        <f t="shared" si="35"/>
        <v>-1.0602854433226498E-2</v>
      </c>
      <c r="AA133" s="1">
        <f t="shared" si="36"/>
        <v>-1.4140846204950062E-3</v>
      </c>
      <c r="AB133" s="1">
        <f t="shared" si="37"/>
        <v>-1.9295063653142056E-3</v>
      </c>
      <c r="AC133" s="1">
        <f t="shared" si="38"/>
        <v>1.0253837775431134E-2</v>
      </c>
      <c r="AD133" s="1">
        <f t="shared" si="39"/>
        <v>-3.8107547184128895E-4</v>
      </c>
      <c r="AE133" s="1">
        <f t="shared" si="40"/>
        <v>-1.6139483133014686E-2</v>
      </c>
      <c r="AF133" s="1">
        <f t="shared" si="41"/>
        <v>-1.6649591323070311E-3</v>
      </c>
      <c r="AG133" s="1">
        <f t="shared" si="42"/>
        <v>2.2837604117320758E-2</v>
      </c>
      <c r="AH133" s="1">
        <f t="shared" si="43"/>
        <v>3.4785926765581385E-2</v>
      </c>
      <c r="AW133" s="28"/>
    </row>
    <row r="134" spans="1:49" x14ac:dyDescent="0.3">
      <c r="A134" s="120">
        <v>45482</v>
      </c>
      <c r="B134" s="121" t="s">
        <v>1214</v>
      </c>
      <c r="C134" s="121" t="s">
        <v>1215</v>
      </c>
      <c r="D134" s="121" t="s">
        <v>1216</v>
      </c>
      <c r="E134" s="121" t="s">
        <v>1217</v>
      </c>
      <c r="F134" s="121" t="s">
        <v>1218</v>
      </c>
      <c r="G134" s="121" t="s">
        <v>1219</v>
      </c>
      <c r="H134" s="121" t="s">
        <v>1220</v>
      </c>
      <c r="I134" s="1">
        <v>685.739990234375</v>
      </c>
      <c r="J134" s="121" t="s">
        <v>1221</v>
      </c>
      <c r="K134" s="121" t="s">
        <v>1222</v>
      </c>
      <c r="M134" s="122">
        <v>45482</v>
      </c>
      <c r="N134" s="1">
        <f t="shared" ref="N134:N197" si="44">LN(B135/B134)</f>
        <v>1.8628977547370414E-2</v>
      </c>
      <c r="O134" s="1">
        <f t="shared" ref="O134:O197" si="45">LN(C135/C134)</f>
        <v>3.8003799915612146E-2</v>
      </c>
      <c r="P134" s="1">
        <f t="shared" ref="P134:P197" si="46">LN(D135/D134)</f>
        <v>2.2548901390968879E-3</v>
      </c>
      <c r="Q134" s="1">
        <f t="shared" ref="Q134:Q197" si="47">LN(E135/E134)</f>
        <v>1.1574295693765852E-2</v>
      </c>
      <c r="R134" s="1">
        <f t="shared" ref="R134:R197" si="48">LN(F135/F134)</f>
        <v>8.1840184277802799E-4</v>
      </c>
      <c r="S134" s="1">
        <f t="shared" ref="S134:S197" si="49">LN(G135/G134)</f>
        <v>8.8100564026968257E-3</v>
      </c>
      <c r="T134" s="1">
        <f t="shared" ref="T134:T197" si="50">LN(H135/H134)</f>
        <v>1.4495986185095112E-2</v>
      </c>
      <c r="U134" s="1">
        <f t="shared" ref="U134:U197" si="51">LN(I135/I134)</f>
        <v>-1.1867566406995357E-2</v>
      </c>
      <c r="V134" s="1">
        <f t="shared" ref="V134:V197" si="52">LN(J135/J134)</f>
        <v>2.6513990645715361E-2</v>
      </c>
      <c r="W134" s="1">
        <f t="shared" ref="W134:W197" si="53">LN(K135/K134)</f>
        <v>3.5389720904092634E-3</v>
      </c>
      <c r="Y134" s="1">
        <f t="shared" ref="Y134:Y197" si="54">N134-$Y$3</f>
        <v>1.6964018415063384E-2</v>
      </c>
      <c r="Z134" s="1">
        <f t="shared" ref="Z134:Z197" si="55">O134-$Y$3</f>
        <v>3.6338840783305112E-2</v>
      </c>
      <c r="AA134" s="1">
        <f t="shared" ref="AA134:AA197" si="56">P134-$Y$3</f>
        <v>5.8993100678985679E-4</v>
      </c>
      <c r="AB134" s="1">
        <f t="shared" ref="AB134:AB197" si="57">Q134-$Y$3</f>
        <v>9.9093365614588216E-3</v>
      </c>
      <c r="AC134" s="1">
        <f t="shared" ref="AC134:AC197" si="58">R134-$Y$3</f>
        <v>-8.4655728952900315E-4</v>
      </c>
      <c r="AD134" s="1">
        <f t="shared" ref="AD134:AD197" si="59">S134-$Y$3</f>
        <v>7.1450972703897943E-3</v>
      </c>
      <c r="AE134" s="1">
        <f t="shared" ref="AE134:AE197" si="60">T134-$Y$3</f>
        <v>1.2831027052788081E-2</v>
      </c>
      <c r="AF134" s="1">
        <f t="shared" ref="AF134:AF197" si="61">U134-$Y$3</f>
        <v>-1.3532525539302388E-2</v>
      </c>
      <c r="AG134" s="1">
        <f t="shared" ref="AG134:AG197" si="62">V134-$Y$3</f>
        <v>2.484903151340833E-2</v>
      </c>
      <c r="AH134" s="1">
        <f t="shared" ref="AH134:AH197" si="63">W134-$Y$3</f>
        <v>1.8740129581022323E-3</v>
      </c>
      <c r="AW134" s="28"/>
    </row>
    <row r="135" spans="1:49" x14ac:dyDescent="0.3">
      <c r="A135" s="120">
        <v>45483</v>
      </c>
      <c r="B135" s="121" t="s">
        <v>1223</v>
      </c>
      <c r="C135" s="121" t="s">
        <v>1224</v>
      </c>
      <c r="D135" s="121" t="s">
        <v>1225</v>
      </c>
      <c r="E135" s="121" t="s">
        <v>1226</v>
      </c>
      <c r="F135" s="121" t="s">
        <v>1227</v>
      </c>
      <c r="G135" s="1">
        <v>533.275390625</v>
      </c>
      <c r="H135" s="121" t="s">
        <v>1228</v>
      </c>
      <c r="I135" s="121" t="s">
        <v>1229</v>
      </c>
      <c r="J135" s="121" t="s">
        <v>1230</v>
      </c>
      <c r="K135" s="1">
        <v>263.260009765625</v>
      </c>
      <c r="M135" s="122">
        <v>45483</v>
      </c>
      <c r="N135" s="1">
        <f t="shared" si="44"/>
        <v>-2.3494654134823136E-2</v>
      </c>
      <c r="O135" s="1">
        <f t="shared" si="45"/>
        <v>-1.1041403355405804E-2</v>
      </c>
      <c r="P135" s="1">
        <f t="shared" si="46"/>
        <v>-2.4010829708542635E-2</v>
      </c>
      <c r="Q135" s="1">
        <f t="shared" si="47"/>
        <v>-2.9783261075626375E-2</v>
      </c>
      <c r="R135" s="1">
        <f t="shared" si="48"/>
        <v>-1.6857500176374713E-3</v>
      </c>
      <c r="S135" s="1">
        <f t="shared" si="49"/>
        <v>-4.1996145175027533E-2</v>
      </c>
      <c r="T135" s="1">
        <f t="shared" si="50"/>
        <v>-2.5084090074193335E-2</v>
      </c>
      <c r="U135" s="1">
        <f t="shared" si="51"/>
        <v>-3.743675891032542E-2</v>
      </c>
      <c r="V135" s="1">
        <f t="shared" si="52"/>
        <v>-5.7276250395276888E-2</v>
      </c>
      <c r="W135" s="1">
        <f t="shared" si="53"/>
        <v>-8.8220772085476282E-2</v>
      </c>
      <c r="Y135" s="1">
        <f t="shared" si="54"/>
        <v>-2.5159613267130166E-2</v>
      </c>
      <c r="Z135" s="1">
        <f t="shared" si="55"/>
        <v>-1.2706362487712834E-2</v>
      </c>
      <c r="AA135" s="1">
        <f t="shared" si="56"/>
        <v>-2.5675788840849666E-2</v>
      </c>
      <c r="AB135" s="1">
        <f t="shared" si="57"/>
        <v>-3.1448220207933406E-2</v>
      </c>
      <c r="AC135" s="1">
        <f t="shared" si="58"/>
        <v>-3.3507091499445025E-3</v>
      </c>
      <c r="AD135" s="1">
        <f t="shared" si="59"/>
        <v>-4.3661104307334567E-2</v>
      </c>
      <c r="AE135" s="1">
        <f t="shared" si="60"/>
        <v>-2.6749049206500366E-2</v>
      </c>
      <c r="AF135" s="1">
        <f t="shared" si="61"/>
        <v>-3.9101718042632454E-2</v>
      </c>
      <c r="AG135" s="1">
        <f t="shared" si="62"/>
        <v>-5.8941209527583922E-2</v>
      </c>
      <c r="AH135" s="1">
        <f t="shared" si="63"/>
        <v>-8.9885731217783316E-2</v>
      </c>
      <c r="AW135" s="28"/>
    </row>
    <row r="136" spans="1:49" x14ac:dyDescent="0.3">
      <c r="A136" s="120">
        <v>45484</v>
      </c>
      <c r="B136" s="121" t="s">
        <v>1231</v>
      </c>
      <c r="C136" s="121" t="s">
        <v>1232</v>
      </c>
      <c r="D136" s="121" t="s">
        <v>1233</v>
      </c>
      <c r="E136" s="121" t="s">
        <v>1234</v>
      </c>
      <c r="F136" s="121" t="s">
        <v>1235</v>
      </c>
      <c r="G136" s="121" t="s">
        <v>1236</v>
      </c>
      <c r="H136" s="121" t="s">
        <v>1237</v>
      </c>
      <c r="I136" s="1">
        <v>652.75</v>
      </c>
      <c r="J136" s="121" t="s">
        <v>1238</v>
      </c>
      <c r="K136" s="121" t="s">
        <v>1239</v>
      </c>
      <c r="M136" s="122">
        <v>45484</v>
      </c>
      <c r="N136" s="1">
        <f t="shared" si="44"/>
        <v>1.2966437311273489E-2</v>
      </c>
      <c r="O136" s="1">
        <f t="shared" si="45"/>
        <v>-1.8154417214724028E-3</v>
      </c>
      <c r="P136" s="1">
        <f t="shared" si="46"/>
        <v>-2.8751754997353033E-3</v>
      </c>
      <c r="Q136" s="1">
        <f t="shared" si="47"/>
        <v>-2.6979950737054245E-3</v>
      </c>
      <c r="R136" s="1">
        <f t="shared" si="48"/>
        <v>-1.2173137043521604E-2</v>
      </c>
      <c r="S136" s="1">
        <f t="shared" si="49"/>
        <v>-2.7345367027862239E-2</v>
      </c>
      <c r="T136" s="1">
        <f t="shared" si="50"/>
        <v>-2.532402070736327E-3</v>
      </c>
      <c r="U136" s="1">
        <f t="shared" si="51"/>
        <v>-7.9210234750531228E-3</v>
      </c>
      <c r="V136" s="1">
        <f t="shared" si="52"/>
        <v>1.4339453843661892E-2</v>
      </c>
      <c r="W136" s="1">
        <f t="shared" si="53"/>
        <v>2.9434316513729668E-2</v>
      </c>
      <c r="Y136" s="1">
        <f t="shared" si="54"/>
        <v>1.1301478178966458E-2</v>
      </c>
      <c r="Z136" s="1">
        <f t="shared" si="55"/>
        <v>-3.4804008537794341E-3</v>
      </c>
      <c r="AA136" s="1">
        <f t="shared" si="56"/>
        <v>-4.5401346320423346E-3</v>
      </c>
      <c r="AB136" s="1">
        <f t="shared" si="57"/>
        <v>-4.3629542060124558E-3</v>
      </c>
      <c r="AC136" s="1">
        <f t="shared" si="58"/>
        <v>-1.3838096175828634E-2</v>
      </c>
      <c r="AD136" s="1">
        <f t="shared" si="59"/>
        <v>-2.901032616016927E-2</v>
      </c>
      <c r="AE136" s="1">
        <f t="shared" si="60"/>
        <v>-4.1973612030433583E-3</v>
      </c>
      <c r="AF136" s="1">
        <f t="shared" si="61"/>
        <v>-9.5859826073601533E-3</v>
      </c>
      <c r="AG136" s="1">
        <f t="shared" si="62"/>
        <v>1.2674494711354862E-2</v>
      </c>
      <c r="AH136" s="1">
        <f t="shared" si="63"/>
        <v>2.7769357381422638E-2</v>
      </c>
      <c r="AW136" s="28"/>
    </row>
    <row r="137" spans="1:49" x14ac:dyDescent="0.3">
      <c r="A137" s="120">
        <v>45485</v>
      </c>
      <c r="B137" s="121" t="s">
        <v>1240</v>
      </c>
      <c r="C137" s="121" t="s">
        <v>1241</v>
      </c>
      <c r="D137" s="121" t="s">
        <v>1242</v>
      </c>
      <c r="E137" s="121" t="s">
        <v>1243</v>
      </c>
      <c r="F137" s="121" t="s">
        <v>1244</v>
      </c>
      <c r="G137" s="121" t="s">
        <v>1245</v>
      </c>
      <c r="H137" s="121" t="s">
        <v>1246</v>
      </c>
      <c r="I137" s="121" t="s">
        <v>1247</v>
      </c>
      <c r="J137" s="121" t="s">
        <v>1248</v>
      </c>
      <c r="K137" s="121" t="s">
        <v>1249</v>
      </c>
      <c r="M137" s="122">
        <v>45485</v>
      </c>
      <c r="N137" s="1">
        <f t="shared" si="44"/>
        <v>1.6604701241164338E-2</v>
      </c>
      <c r="O137" s="1">
        <f t="shared" si="45"/>
        <v>-9.8495637319415633E-3</v>
      </c>
      <c r="P137" s="1">
        <f t="shared" si="46"/>
        <v>-9.1424114582629012E-3</v>
      </c>
      <c r="Q137" s="1">
        <f t="shared" si="47"/>
        <v>7.8579045489241602E-3</v>
      </c>
      <c r="R137" s="1">
        <f t="shared" si="48"/>
        <v>2.462841617578139E-2</v>
      </c>
      <c r="S137" s="1">
        <f t="shared" si="49"/>
        <v>-5.4471255356764552E-3</v>
      </c>
      <c r="T137" s="1">
        <f t="shared" si="50"/>
        <v>9.0356220487975184E-4</v>
      </c>
      <c r="U137" s="1">
        <f t="shared" si="51"/>
        <v>1.3573363871456986E-2</v>
      </c>
      <c r="V137" s="1">
        <f t="shared" si="52"/>
        <v>-6.2092855635670179E-3</v>
      </c>
      <c r="W137" s="1">
        <f t="shared" si="53"/>
        <v>1.7609829570939387E-2</v>
      </c>
      <c r="Y137" s="1">
        <f t="shared" si="54"/>
        <v>1.4939742108857307E-2</v>
      </c>
      <c r="Z137" s="1">
        <f t="shared" si="55"/>
        <v>-1.1514522864248594E-2</v>
      </c>
      <c r="AA137" s="1">
        <f t="shared" si="56"/>
        <v>-1.0807370590569932E-2</v>
      </c>
      <c r="AB137" s="1">
        <f t="shared" si="57"/>
        <v>6.1929454166171289E-3</v>
      </c>
      <c r="AC137" s="1">
        <f t="shared" si="58"/>
        <v>2.2963457043474359E-2</v>
      </c>
      <c r="AD137" s="1">
        <f t="shared" si="59"/>
        <v>-7.1120846679834865E-3</v>
      </c>
      <c r="AE137" s="1">
        <f t="shared" si="60"/>
        <v>-7.613969274272793E-4</v>
      </c>
      <c r="AF137" s="1">
        <f t="shared" si="61"/>
        <v>1.1908404739149956E-2</v>
      </c>
      <c r="AG137" s="1">
        <f t="shared" si="62"/>
        <v>-7.8742446958740483E-3</v>
      </c>
      <c r="AH137" s="1">
        <f t="shared" si="63"/>
        <v>1.5944870438632356E-2</v>
      </c>
      <c r="AW137" s="28"/>
    </row>
    <row r="138" spans="1:49" x14ac:dyDescent="0.3">
      <c r="A138" s="120">
        <v>45488</v>
      </c>
      <c r="B138" s="121" t="s">
        <v>1250</v>
      </c>
      <c r="C138" s="121" t="s">
        <v>615</v>
      </c>
      <c r="D138" s="121" t="s">
        <v>1251</v>
      </c>
      <c r="E138" s="121" t="s">
        <v>1252</v>
      </c>
      <c r="F138" s="121" t="s">
        <v>1253</v>
      </c>
      <c r="G138" s="121" t="s">
        <v>1254</v>
      </c>
      <c r="H138" s="121" t="s">
        <v>1255</v>
      </c>
      <c r="I138" s="121" t="s">
        <v>1256</v>
      </c>
      <c r="J138" s="121" t="s">
        <v>1257</v>
      </c>
      <c r="K138" s="121" t="s">
        <v>1258</v>
      </c>
      <c r="M138" s="122">
        <v>45488</v>
      </c>
      <c r="N138" s="1">
        <f t="shared" si="44"/>
        <v>1.7902759165529867E-3</v>
      </c>
      <c r="O138" s="1">
        <f t="shared" si="45"/>
        <v>-1.2759693781992086E-2</v>
      </c>
      <c r="P138" s="1">
        <f t="shared" si="46"/>
        <v>1.5554679731031396E-3</v>
      </c>
      <c r="Q138" s="1">
        <f t="shared" si="47"/>
        <v>-1.4091249115596928E-2</v>
      </c>
      <c r="R138" s="1">
        <f t="shared" si="48"/>
        <v>1.6853158550124665E-2</v>
      </c>
      <c r="S138" s="1">
        <f t="shared" si="49"/>
        <v>-1.2921669138278103E-2</v>
      </c>
      <c r="T138" s="1">
        <f t="shared" si="50"/>
        <v>-9.8286731099421643E-3</v>
      </c>
      <c r="U138" s="1">
        <f t="shared" si="51"/>
        <v>-1.9806193210370948E-4</v>
      </c>
      <c r="V138" s="1">
        <f t="shared" si="52"/>
        <v>-1.6326857589467191E-2</v>
      </c>
      <c r="W138" s="1">
        <f t="shared" si="53"/>
        <v>1.5396997777533632E-2</v>
      </c>
      <c r="Y138" s="1">
        <f t="shared" si="54"/>
        <v>1.253167842459556E-4</v>
      </c>
      <c r="Z138" s="1">
        <f t="shared" si="55"/>
        <v>-1.4424652914299117E-2</v>
      </c>
      <c r="AA138" s="1">
        <f t="shared" si="56"/>
        <v>-1.0949115920389158E-4</v>
      </c>
      <c r="AB138" s="1">
        <f t="shared" si="57"/>
        <v>-1.5756208247903958E-2</v>
      </c>
      <c r="AC138" s="1">
        <f t="shared" si="58"/>
        <v>1.5188199417817634E-2</v>
      </c>
      <c r="AD138" s="1">
        <f t="shared" si="59"/>
        <v>-1.4586628270585133E-2</v>
      </c>
      <c r="AE138" s="1">
        <f t="shared" si="60"/>
        <v>-1.1493632242249195E-2</v>
      </c>
      <c r="AF138" s="1">
        <f t="shared" si="61"/>
        <v>-1.8630210644107407E-3</v>
      </c>
      <c r="AG138" s="1">
        <f t="shared" si="62"/>
        <v>-1.7991816721774221E-2</v>
      </c>
      <c r="AH138" s="1">
        <f t="shared" si="63"/>
        <v>1.3732038645226602E-2</v>
      </c>
      <c r="AW138" s="28"/>
    </row>
    <row r="139" spans="1:49" x14ac:dyDescent="0.3">
      <c r="A139" s="120">
        <v>45489</v>
      </c>
      <c r="B139" s="1">
        <v>234.033447265625</v>
      </c>
      <c r="C139" s="121" t="s">
        <v>905</v>
      </c>
      <c r="D139" s="121" t="s">
        <v>1259</v>
      </c>
      <c r="E139" s="121" t="s">
        <v>1260</v>
      </c>
      <c r="F139" s="121" t="s">
        <v>1261</v>
      </c>
      <c r="G139" s="121" t="s">
        <v>1262</v>
      </c>
      <c r="H139" s="121" t="s">
        <v>1263</v>
      </c>
      <c r="I139" s="121" t="s">
        <v>1264</v>
      </c>
      <c r="J139" s="121" t="s">
        <v>1265</v>
      </c>
      <c r="K139" s="121" t="s">
        <v>1266</v>
      </c>
      <c r="M139" s="122">
        <v>45489</v>
      </c>
      <c r="N139" s="1">
        <f t="shared" si="44"/>
        <v>-2.5621488347681999E-2</v>
      </c>
      <c r="O139" s="1">
        <f t="shared" si="45"/>
        <v>-0.10764736809800943</v>
      </c>
      <c r="P139" s="1">
        <f t="shared" si="46"/>
        <v>-2.6724318518408712E-2</v>
      </c>
      <c r="Q139" s="1">
        <f t="shared" si="47"/>
        <v>-1.5893259767641287E-2</v>
      </c>
      <c r="R139" s="1">
        <f t="shared" si="48"/>
        <v>1.5099286810977162E-2</v>
      </c>
      <c r="S139" s="1">
        <f t="shared" si="49"/>
        <v>-5.8433586108087243E-2</v>
      </c>
      <c r="T139" s="1">
        <f t="shared" si="50"/>
        <v>-1.3437499497385401E-2</v>
      </c>
      <c r="U139" s="1">
        <f t="shared" si="51"/>
        <v>-1.3591436503141357E-2</v>
      </c>
      <c r="V139" s="1">
        <f t="shared" si="52"/>
        <v>-6.8535205024383206E-2</v>
      </c>
      <c r="W139" s="1">
        <f t="shared" si="53"/>
        <v>-3.1919700332286111E-2</v>
      </c>
      <c r="Y139" s="1">
        <f t="shared" si="54"/>
        <v>-2.728644747998903E-2</v>
      </c>
      <c r="Z139" s="1">
        <f t="shared" si="55"/>
        <v>-0.10931232723031646</v>
      </c>
      <c r="AA139" s="1">
        <f t="shared" si="56"/>
        <v>-2.8389277650715743E-2</v>
      </c>
      <c r="AB139" s="1">
        <f t="shared" si="57"/>
        <v>-1.7558218899948318E-2</v>
      </c>
      <c r="AC139" s="1">
        <f t="shared" si="58"/>
        <v>1.3434327678670132E-2</v>
      </c>
      <c r="AD139" s="1">
        <f t="shared" si="59"/>
        <v>-6.0098545240394277E-2</v>
      </c>
      <c r="AE139" s="1">
        <f t="shared" si="60"/>
        <v>-1.5102458629692431E-2</v>
      </c>
      <c r="AF139" s="1">
        <f t="shared" si="61"/>
        <v>-1.5256395635448387E-2</v>
      </c>
      <c r="AG139" s="1">
        <f t="shared" si="62"/>
        <v>-7.020016415669024E-2</v>
      </c>
      <c r="AH139" s="1">
        <f t="shared" si="63"/>
        <v>-3.3584659464593145E-2</v>
      </c>
      <c r="AW139" s="28"/>
    </row>
    <row r="140" spans="1:49" x14ac:dyDescent="0.3">
      <c r="A140" s="120">
        <v>45490</v>
      </c>
      <c r="B140" s="121" t="s">
        <v>1267</v>
      </c>
      <c r="C140" s="121" t="s">
        <v>1268</v>
      </c>
      <c r="D140" s="121" t="s">
        <v>1269</v>
      </c>
      <c r="E140" s="121" t="s">
        <v>1270</v>
      </c>
      <c r="F140" s="121" t="s">
        <v>1271</v>
      </c>
      <c r="G140" s="121" t="s">
        <v>1272</v>
      </c>
      <c r="H140" s="121" t="s">
        <v>1273</v>
      </c>
      <c r="I140" s="121" t="s">
        <v>1274</v>
      </c>
      <c r="J140" s="121" t="s">
        <v>1275</v>
      </c>
      <c r="K140" s="1">
        <v>248.5</v>
      </c>
      <c r="M140" s="122">
        <v>45490</v>
      </c>
      <c r="N140" s="1">
        <f t="shared" si="44"/>
        <v>-2.074858662227571E-2</v>
      </c>
      <c r="O140" s="1">
        <f t="shared" si="45"/>
        <v>-2.3224320712725833E-2</v>
      </c>
      <c r="P140" s="1">
        <f t="shared" si="46"/>
        <v>-2.2493376002439603E-2</v>
      </c>
      <c r="Q140" s="1">
        <f t="shared" si="47"/>
        <v>-1.8567083924123443E-2</v>
      </c>
      <c r="R140" s="1">
        <f t="shared" si="48"/>
        <v>-3.2285817261479353E-2</v>
      </c>
      <c r="S140" s="1">
        <f t="shared" si="49"/>
        <v>2.9559502500243282E-2</v>
      </c>
      <c r="T140" s="1">
        <f t="shared" si="50"/>
        <v>-7.1276211519806084E-3</v>
      </c>
      <c r="U140" s="1">
        <f t="shared" si="51"/>
        <v>-6.850153009475903E-3</v>
      </c>
      <c r="V140" s="1">
        <f t="shared" si="52"/>
        <v>2.5934191579067001E-2</v>
      </c>
      <c r="W140" s="1">
        <f t="shared" si="53"/>
        <v>2.9333022209953267E-3</v>
      </c>
      <c r="Y140" s="1">
        <f t="shared" si="54"/>
        <v>-2.241354575458274E-2</v>
      </c>
      <c r="Z140" s="1">
        <f t="shared" si="55"/>
        <v>-2.4889279845032863E-2</v>
      </c>
      <c r="AA140" s="1">
        <f t="shared" si="56"/>
        <v>-2.4158335134746634E-2</v>
      </c>
      <c r="AB140" s="1">
        <f t="shared" si="57"/>
        <v>-2.0232043056430473E-2</v>
      </c>
      <c r="AC140" s="1">
        <f t="shared" si="58"/>
        <v>-3.3950776393786387E-2</v>
      </c>
      <c r="AD140" s="1">
        <f t="shared" si="59"/>
        <v>2.7894543367936252E-2</v>
      </c>
      <c r="AE140" s="1">
        <f t="shared" si="60"/>
        <v>-8.7925802842876398E-3</v>
      </c>
      <c r="AF140" s="1">
        <f t="shared" si="61"/>
        <v>-8.5151121417829344E-3</v>
      </c>
      <c r="AG140" s="1">
        <f t="shared" si="62"/>
        <v>2.4269232446759971E-2</v>
      </c>
      <c r="AH140" s="1">
        <f t="shared" si="63"/>
        <v>1.2683430886882955E-3</v>
      </c>
      <c r="AW140" s="28"/>
    </row>
    <row r="141" spans="1:49" x14ac:dyDescent="0.3">
      <c r="A141" s="120">
        <v>45491</v>
      </c>
      <c r="B141" s="121" t="s">
        <v>1276</v>
      </c>
      <c r="C141" s="121" t="s">
        <v>1277</v>
      </c>
      <c r="D141" s="1">
        <v>183.75</v>
      </c>
      <c r="E141" s="121" t="s">
        <v>1278</v>
      </c>
      <c r="F141" s="121" t="s">
        <v>1279</v>
      </c>
      <c r="G141" s="121" t="s">
        <v>1280</v>
      </c>
      <c r="H141" s="121" t="s">
        <v>1281</v>
      </c>
      <c r="I141" s="121" t="s">
        <v>1282</v>
      </c>
      <c r="J141" s="121" t="s">
        <v>1283</v>
      </c>
      <c r="K141" s="121" t="s">
        <v>1284</v>
      </c>
      <c r="M141" s="122">
        <v>45491</v>
      </c>
      <c r="N141" s="1">
        <f t="shared" si="44"/>
        <v>5.7978168051710125E-4</v>
      </c>
      <c r="O141" s="1">
        <f t="shared" si="45"/>
        <v>-2.7267037302847665E-2</v>
      </c>
      <c r="P141" s="1">
        <f t="shared" si="46"/>
        <v>-3.3798282769974125E-3</v>
      </c>
      <c r="Q141" s="1">
        <f t="shared" si="47"/>
        <v>-1.6893633243251959E-4</v>
      </c>
      <c r="R141" s="1">
        <f t="shared" si="48"/>
        <v>-9.5289381408347458E-4</v>
      </c>
      <c r="S141" s="1">
        <f t="shared" si="49"/>
        <v>1.9735003951053642E-3</v>
      </c>
      <c r="T141" s="1">
        <f t="shared" si="50"/>
        <v>-7.4304368653631469E-3</v>
      </c>
      <c r="U141" s="1">
        <f t="shared" si="51"/>
        <v>-1.5199451381187563E-2</v>
      </c>
      <c r="V141" s="1">
        <f t="shared" si="52"/>
        <v>-2.6442813876389935E-2</v>
      </c>
      <c r="W141" s="1">
        <f t="shared" si="53"/>
        <v>-4.1076138439387871E-2</v>
      </c>
      <c r="Y141" s="1">
        <f t="shared" si="54"/>
        <v>-1.0851774517899298E-3</v>
      </c>
      <c r="Z141" s="1">
        <f t="shared" si="55"/>
        <v>-2.8931996435154695E-2</v>
      </c>
      <c r="AA141" s="1">
        <f t="shared" si="56"/>
        <v>-5.0447874093044439E-3</v>
      </c>
      <c r="AB141" s="1">
        <f t="shared" si="57"/>
        <v>-1.8338954647395508E-3</v>
      </c>
      <c r="AC141" s="1">
        <f t="shared" si="58"/>
        <v>-2.6178529463905058E-3</v>
      </c>
      <c r="AD141" s="1">
        <f t="shared" si="59"/>
        <v>3.0854126279833308E-4</v>
      </c>
      <c r="AE141" s="1">
        <f t="shared" si="60"/>
        <v>-9.0953959976701783E-3</v>
      </c>
      <c r="AF141" s="1">
        <f t="shared" si="61"/>
        <v>-1.6864410513494594E-2</v>
      </c>
      <c r="AG141" s="1">
        <f t="shared" si="62"/>
        <v>-2.8107773008696966E-2</v>
      </c>
      <c r="AH141" s="1">
        <f t="shared" si="63"/>
        <v>-4.2741097571694905E-2</v>
      </c>
      <c r="AW141" s="28"/>
    </row>
    <row r="142" spans="1:49" x14ac:dyDescent="0.3">
      <c r="A142" s="120">
        <v>45492</v>
      </c>
      <c r="B142" s="121" t="s">
        <v>1285</v>
      </c>
      <c r="C142" s="121" t="s">
        <v>1286</v>
      </c>
      <c r="D142" s="121" t="s">
        <v>948</v>
      </c>
      <c r="E142" s="1">
        <v>177.017578125</v>
      </c>
      <c r="F142" s="121" t="s">
        <v>1287</v>
      </c>
      <c r="G142" s="121" t="s">
        <v>1288</v>
      </c>
      <c r="H142" s="121" t="s">
        <v>1289</v>
      </c>
      <c r="I142" s="121" t="s">
        <v>1290</v>
      </c>
      <c r="J142" s="121" t="s">
        <v>1291</v>
      </c>
      <c r="K142" s="121" t="s">
        <v>1292</v>
      </c>
      <c r="M142" s="122">
        <v>45492</v>
      </c>
      <c r="N142" s="1">
        <f t="shared" si="44"/>
        <v>-1.5615067652630899E-3</v>
      </c>
      <c r="O142" s="1">
        <f t="shared" si="45"/>
        <v>2.7908744711101219E-2</v>
      </c>
      <c r="P142" s="1">
        <f t="shared" si="46"/>
        <v>-3.1721849969268577E-3</v>
      </c>
      <c r="Q142" s="1">
        <f t="shared" si="47"/>
        <v>2.2320321284875648E-2</v>
      </c>
      <c r="R142" s="1">
        <f t="shared" si="48"/>
        <v>2.3806075687470038E-3</v>
      </c>
      <c r="S142" s="1">
        <f t="shared" si="49"/>
        <v>2.2008954638875252E-2</v>
      </c>
      <c r="T142" s="1">
        <f t="shared" si="50"/>
        <v>1.3249514043873988E-2</v>
      </c>
      <c r="U142" s="1">
        <f t="shared" si="51"/>
        <v>2.2111348423959273E-2</v>
      </c>
      <c r="V142" s="1">
        <f t="shared" si="52"/>
        <v>4.6473779121265948E-2</v>
      </c>
      <c r="W142" s="1">
        <f t="shared" si="53"/>
        <v>5.0182719021707574E-2</v>
      </c>
      <c r="Y142" s="1">
        <f t="shared" si="54"/>
        <v>-3.2264658975701211E-3</v>
      </c>
      <c r="Z142" s="1">
        <f t="shared" si="55"/>
        <v>2.6243785578794188E-2</v>
      </c>
      <c r="AA142" s="1">
        <f t="shared" si="56"/>
        <v>-4.837144129233889E-3</v>
      </c>
      <c r="AB142" s="1">
        <f t="shared" si="57"/>
        <v>2.0655362152568617E-2</v>
      </c>
      <c r="AC142" s="1">
        <f t="shared" si="58"/>
        <v>7.1564843643997264E-4</v>
      </c>
      <c r="AD142" s="1">
        <f t="shared" si="59"/>
        <v>2.0343995506568222E-2</v>
      </c>
      <c r="AE142" s="1">
        <f t="shared" si="60"/>
        <v>1.1584554911566958E-2</v>
      </c>
      <c r="AF142" s="1">
        <f t="shared" si="61"/>
        <v>2.0446389291652243E-2</v>
      </c>
      <c r="AG142" s="1">
        <f t="shared" si="62"/>
        <v>4.4808819988958914E-2</v>
      </c>
      <c r="AH142" s="1">
        <f t="shared" si="63"/>
        <v>4.851775988940054E-2</v>
      </c>
      <c r="AW142" s="28"/>
    </row>
    <row r="143" spans="1:49" x14ac:dyDescent="0.3">
      <c r="A143" s="120">
        <v>45495</v>
      </c>
      <c r="B143" s="121" t="s">
        <v>1293</v>
      </c>
      <c r="C143" s="121" t="s">
        <v>1294</v>
      </c>
      <c r="D143" s="121" t="s">
        <v>1295</v>
      </c>
      <c r="E143" s="121" t="s">
        <v>1296</v>
      </c>
      <c r="F143" s="121" t="s">
        <v>1297</v>
      </c>
      <c r="G143" s="121" t="s">
        <v>1298</v>
      </c>
      <c r="H143" s="121" t="s">
        <v>1299</v>
      </c>
      <c r="I143" s="1">
        <v>647.5</v>
      </c>
      <c r="J143" s="121" t="s">
        <v>1168</v>
      </c>
      <c r="K143" s="121" t="s">
        <v>1300</v>
      </c>
      <c r="M143" s="122">
        <v>45495</v>
      </c>
      <c r="N143" s="1">
        <f t="shared" si="44"/>
        <v>4.677292409708835E-3</v>
      </c>
      <c r="O143" s="1">
        <f t="shared" si="45"/>
        <v>-1.206969276114144E-2</v>
      </c>
      <c r="P143" s="1">
        <f t="shared" si="46"/>
        <v>2.0924443707585751E-2</v>
      </c>
      <c r="Q143" s="1">
        <f t="shared" si="47"/>
        <v>6.6024588741138434E-4</v>
      </c>
      <c r="R143" s="1">
        <f t="shared" si="48"/>
        <v>2.3774201551709758E-4</v>
      </c>
      <c r="S143" s="1">
        <f t="shared" si="49"/>
        <v>2.6432073998404982E-3</v>
      </c>
      <c r="T143" s="1">
        <f t="shared" si="50"/>
        <v>4.3028461912946658E-3</v>
      </c>
      <c r="U143" s="1">
        <f t="shared" si="51"/>
        <v>-7.3473742068724491E-3</v>
      </c>
      <c r="V143" s="1">
        <f t="shared" si="52"/>
        <v>-7.7195536810519836E-3</v>
      </c>
      <c r="W143" s="1">
        <f t="shared" si="53"/>
        <v>-2.0607648987955002E-2</v>
      </c>
      <c r="Y143" s="1">
        <f t="shared" si="54"/>
        <v>3.0123332774018036E-3</v>
      </c>
      <c r="Z143" s="1">
        <f t="shared" si="55"/>
        <v>-1.373465189344847E-2</v>
      </c>
      <c r="AA143" s="1">
        <f t="shared" si="56"/>
        <v>1.9259484575278721E-2</v>
      </c>
      <c r="AB143" s="1">
        <f t="shared" si="57"/>
        <v>-1.0047132448956467E-3</v>
      </c>
      <c r="AC143" s="1">
        <f t="shared" si="58"/>
        <v>-1.4272171167899336E-3</v>
      </c>
      <c r="AD143" s="1">
        <f t="shared" si="59"/>
        <v>9.7824826753346709E-4</v>
      </c>
      <c r="AE143" s="1">
        <f t="shared" si="60"/>
        <v>2.6378870589876344E-3</v>
      </c>
      <c r="AF143" s="1">
        <f t="shared" si="61"/>
        <v>-9.0123333391794805E-3</v>
      </c>
      <c r="AG143" s="1">
        <f t="shared" si="62"/>
        <v>-9.3845128133590149E-3</v>
      </c>
      <c r="AH143" s="1">
        <f t="shared" si="63"/>
        <v>-2.2272608120262032E-2</v>
      </c>
      <c r="AW143" s="28"/>
    </row>
    <row r="144" spans="1:49" x14ac:dyDescent="0.3">
      <c r="A144" s="120">
        <v>45496</v>
      </c>
      <c r="B144" s="121" t="s">
        <v>1301</v>
      </c>
      <c r="C144" s="1">
        <v>154</v>
      </c>
      <c r="D144" s="121" t="s">
        <v>1302</v>
      </c>
      <c r="E144" s="121" t="s">
        <v>1303</v>
      </c>
      <c r="F144" s="121" t="s">
        <v>1304</v>
      </c>
      <c r="G144" s="121" t="s">
        <v>1305</v>
      </c>
      <c r="H144" s="121" t="s">
        <v>1306</v>
      </c>
      <c r="I144" s="1">
        <v>642.760009765625</v>
      </c>
      <c r="J144" s="121" t="s">
        <v>1307</v>
      </c>
      <c r="K144" s="121" t="s">
        <v>1308</v>
      </c>
      <c r="M144" s="122">
        <v>45496</v>
      </c>
      <c r="N144" s="1">
        <f t="shared" si="44"/>
        <v>-2.9175880150218162E-2</v>
      </c>
      <c r="O144" s="1">
        <f t="shared" si="45"/>
        <v>-6.2773811567275614E-2</v>
      </c>
      <c r="P144" s="1">
        <f t="shared" si="46"/>
        <v>-3.0391195003888403E-2</v>
      </c>
      <c r="Q144" s="1">
        <f t="shared" si="47"/>
        <v>-5.1701507443244608E-2</v>
      </c>
      <c r="R144" s="1">
        <f t="shared" si="48"/>
        <v>-8.3071411730681749E-3</v>
      </c>
      <c r="S144" s="1">
        <f t="shared" si="49"/>
        <v>-5.7744820023653831E-2</v>
      </c>
      <c r="T144" s="1">
        <f t="shared" si="50"/>
        <v>-3.6513413527001097E-2</v>
      </c>
      <c r="U144" s="1">
        <f t="shared" si="51"/>
        <v>-1.0588594775748297E-2</v>
      </c>
      <c r="V144" s="1">
        <f t="shared" si="52"/>
        <v>-7.0456416982414324E-2</v>
      </c>
      <c r="W144" s="1">
        <f t="shared" si="53"/>
        <v>-0.13164294360338946</v>
      </c>
      <c r="Y144" s="1">
        <f t="shared" si="54"/>
        <v>-3.0840839282525193E-2</v>
      </c>
      <c r="Z144" s="1">
        <f t="shared" si="55"/>
        <v>-6.4438770699582648E-2</v>
      </c>
      <c r="AA144" s="1">
        <f t="shared" si="56"/>
        <v>-3.2056154136195433E-2</v>
      </c>
      <c r="AB144" s="1">
        <f t="shared" si="57"/>
        <v>-5.3366466575551642E-2</v>
      </c>
      <c r="AC144" s="1">
        <f t="shared" si="58"/>
        <v>-9.9721003053752054E-3</v>
      </c>
      <c r="AD144" s="1">
        <f t="shared" si="59"/>
        <v>-5.9409779155960865E-2</v>
      </c>
      <c r="AE144" s="1">
        <f t="shared" si="60"/>
        <v>-3.8178372659308131E-2</v>
      </c>
      <c r="AF144" s="1">
        <f t="shared" si="61"/>
        <v>-1.2253553908055327E-2</v>
      </c>
      <c r="AG144" s="1">
        <f t="shared" si="62"/>
        <v>-7.2121376114721358E-2</v>
      </c>
      <c r="AH144" s="1">
        <f t="shared" si="63"/>
        <v>-0.13330790273569648</v>
      </c>
      <c r="AW144" s="28"/>
    </row>
    <row r="145" spans="1:49" x14ac:dyDescent="0.3">
      <c r="A145" s="120">
        <v>45497</v>
      </c>
      <c r="B145" s="121" t="s">
        <v>1309</v>
      </c>
      <c r="C145" s="121" t="s">
        <v>1310</v>
      </c>
      <c r="D145" s="121" t="s">
        <v>1311</v>
      </c>
      <c r="E145" s="121" t="s">
        <v>1312</v>
      </c>
      <c r="F145" s="121" t="s">
        <v>1313</v>
      </c>
      <c r="G145" s="121" t="s">
        <v>1314</v>
      </c>
      <c r="H145" s="121" t="s">
        <v>1315</v>
      </c>
      <c r="I145" s="1">
        <v>635.989990234375</v>
      </c>
      <c r="J145" s="121" t="s">
        <v>1316</v>
      </c>
      <c r="K145" s="121" t="s">
        <v>1317</v>
      </c>
      <c r="M145" s="122">
        <v>45497</v>
      </c>
      <c r="N145" s="1">
        <f t="shared" si="44"/>
        <v>-4.8160303524838353E-3</v>
      </c>
      <c r="O145" s="1">
        <f t="shared" si="45"/>
        <v>-4.4608896520061794E-2</v>
      </c>
      <c r="P145" s="1">
        <f t="shared" si="46"/>
        <v>-5.4341694443895572E-3</v>
      </c>
      <c r="Q145" s="1">
        <f t="shared" si="47"/>
        <v>-3.1481539613767581E-2</v>
      </c>
      <c r="R145" s="1">
        <f t="shared" si="48"/>
        <v>3.8344120305832665E-4</v>
      </c>
      <c r="S145" s="1">
        <f t="shared" si="49"/>
        <v>-1.7186755912156928E-2</v>
      </c>
      <c r="T145" s="1">
        <f t="shared" si="50"/>
        <v>-2.4785879832630545E-2</v>
      </c>
      <c r="U145" s="1">
        <f t="shared" si="51"/>
        <v>-2.9918820398911286E-3</v>
      </c>
      <c r="V145" s="1">
        <f t="shared" si="52"/>
        <v>-1.7393263753356786E-2</v>
      </c>
      <c r="W145" s="1">
        <f t="shared" si="53"/>
        <v>1.9531129067634902E-2</v>
      </c>
      <c r="Y145" s="1">
        <f t="shared" si="54"/>
        <v>-6.4809894847908667E-3</v>
      </c>
      <c r="Z145" s="1">
        <f t="shared" si="55"/>
        <v>-4.6273855652368828E-2</v>
      </c>
      <c r="AA145" s="1">
        <f t="shared" si="56"/>
        <v>-7.0991285766965886E-3</v>
      </c>
      <c r="AB145" s="1">
        <f t="shared" si="57"/>
        <v>-3.3146498746074615E-2</v>
      </c>
      <c r="AC145" s="1">
        <f t="shared" si="58"/>
        <v>-1.2815179292487045E-3</v>
      </c>
      <c r="AD145" s="1">
        <f t="shared" si="59"/>
        <v>-1.8851715044463958E-2</v>
      </c>
      <c r="AE145" s="1">
        <f t="shared" si="60"/>
        <v>-2.6450838964937575E-2</v>
      </c>
      <c r="AF145" s="1">
        <f t="shared" si="61"/>
        <v>-4.6568411721981595E-3</v>
      </c>
      <c r="AG145" s="1">
        <f t="shared" si="62"/>
        <v>-1.9058222885663816E-2</v>
      </c>
      <c r="AH145" s="1">
        <f t="shared" si="63"/>
        <v>1.7866169935327872E-2</v>
      </c>
      <c r="AW145" s="28"/>
    </row>
    <row r="146" spans="1:49" x14ac:dyDescent="0.3">
      <c r="A146" s="120">
        <v>45498</v>
      </c>
      <c r="B146" s="121" t="s">
        <v>1318</v>
      </c>
      <c r="C146" s="121" t="s">
        <v>1319</v>
      </c>
      <c r="D146" s="121" t="s">
        <v>1320</v>
      </c>
      <c r="E146" s="121" t="s">
        <v>1321</v>
      </c>
      <c r="F146" s="121" t="s">
        <v>1322</v>
      </c>
      <c r="G146" s="1">
        <v>452.21044921875</v>
      </c>
      <c r="H146" s="121" t="s">
        <v>1323</v>
      </c>
      <c r="I146" s="121" t="s">
        <v>1324</v>
      </c>
      <c r="J146" s="121" t="s">
        <v>1325</v>
      </c>
      <c r="K146" s="1">
        <v>220.25</v>
      </c>
      <c r="M146" s="122">
        <v>45498</v>
      </c>
      <c r="N146" s="1">
        <f t="shared" si="44"/>
        <v>2.1586349174608313E-3</v>
      </c>
      <c r="O146" s="1">
        <f t="shared" si="45"/>
        <v>1.2001136400130034E-2</v>
      </c>
      <c r="P146" s="1">
        <f t="shared" si="46"/>
        <v>1.4626968944216605E-2</v>
      </c>
      <c r="Q146" s="1">
        <f t="shared" si="47"/>
        <v>-1.675267723114428E-3</v>
      </c>
      <c r="R146" s="1">
        <f t="shared" si="48"/>
        <v>1.6963747695071876E-2</v>
      </c>
      <c r="S146" s="1">
        <f t="shared" si="49"/>
        <v>2.6744903943873778E-2</v>
      </c>
      <c r="T146" s="1">
        <f t="shared" si="50"/>
        <v>1.6286314837976018E-2</v>
      </c>
      <c r="U146" s="1">
        <f t="shared" si="51"/>
        <v>-4.2988887519167249E-3</v>
      </c>
      <c r="V146" s="1">
        <f t="shared" si="52"/>
        <v>6.9229018214362779E-3</v>
      </c>
      <c r="W146" s="1">
        <f t="shared" si="53"/>
        <v>-2.0452089625232913E-3</v>
      </c>
      <c r="Y146" s="1">
        <f t="shared" si="54"/>
        <v>4.9367578515380011E-4</v>
      </c>
      <c r="Z146" s="1">
        <f t="shared" si="55"/>
        <v>1.0336177267823004E-2</v>
      </c>
      <c r="AA146" s="1">
        <f t="shared" si="56"/>
        <v>1.2962009811909574E-2</v>
      </c>
      <c r="AB146" s="1">
        <f t="shared" si="57"/>
        <v>-3.3402268554214593E-3</v>
      </c>
      <c r="AC146" s="1">
        <f t="shared" si="58"/>
        <v>1.5298788562764846E-2</v>
      </c>
      <c r="AD146" s="1">
        <f t="shared" si="59"/>
        <v>2.5079944811566748E-2</v>
      </c>
      <c r="AE146" s="1">
        <f t="shared" si="60"/>
        <v>1.4621355705668988E-2</v>
      </c>
      <c r="AF146" s="1">
        <f t="shared" si="61"/>
        <v>-5.9638478842237563E-3</v>
      </c>
      <c r="AG146" s="1">
        <f t="shared" si="62"/>
        <v>5.2579426891292465E-3</v>
      </c>
      <c r="AH146" s="1">
        <f t="shared" si="63"/>
        <v>-3.7101680948303222E-3</v>
      </c>
      <c r="AW146" s="28"/>
    </row>
    <row r="147" spans="1:49" x14ac:dyDescent="0.3">
      <c r="A147" s="120">
        <v>45499</v>
      </c>
      <c r="B147" s="121" t="s">
        <v>1326</v>
      </c>
      <c r="C147" s="121" t="s">
        <v>1327</v>
      </c>
      <c r="D147" s="1">
        <v>182.5</v>
      </c>
      <c r="E147" s="121" t="s">
        <v>1328</v>
      </c>
      <c r="F147" s="121" t="s">
        <v>1329</v>
      </c>
      <c r="G147" s="121" t="s">
        <v>1330</v>
      </c>
      <c r="H147" s="121" t="s">
        <v>1331</v>
      </c>
      <c r="I147" s="121" t="s">
        <v>1332</v>
      </c>
      <c r="J147" s="121" t="s">
        <v>1333</v>
      </c>
      <c r="K147" s="121" t="s">
        <v>1334</v>
      </c>
      <c r="M147" s="122">
        <v>45499</v>
      </c>
      <c r="N147" s="1">
        <f t="shared" si="44"/>
        <v>1.2838420793779316E-3</v>
      </c>
      <c r="O147" s="1">
        <f t="shared" si="45"/>
        <v>-1.7159186912131131E-3</v>
      </c>
      <c r="P147" s="1">
        <f t="shared" si="46"/>
        <v>3.8282625594157097E-3</v>
      </c>
      <c r="Q147" s="1">
        <f t="shared" si="47"/>
        <v>1.50361322955582E-2</v>
      </c>
      <c r="R147" s="1">
        <f t="shared" si="48"/>
        <v>-6.5707291920766749E-3</v>
      </c>
      <c r="S147" s="1">
        <f t="shared" si="49"/>
        <v>2.1419397788998152E-5</v>
      </c>
      <c r="T147" s="1">
        <f t="shared" si="50"/>
        <v>3.4273461519646808E-3</v>
      </c>
      <c r="U147" s="1">
        <f t="shared" si="51"/>
        <v>-7.0092760083114635E-3</v>
      </c>
      <c r="V147" s="1">
        <f t="shared" si="52"/>
        <v>-1.3087254424841188E-2</v>
      </c>
      <c r="W147" s="1">
        <f t="shared" si="53"/>
        <v>5.445028372354474E-2</v>
      </c>
      <c r="Y147" s="1">
        <f t="shared" si="54"/>
        <v>-3.8111705292909952E-4</v>
      </c>
      <c r="Z147" s="1">
        <f t="shared" si="55"/>
        <v>-3.3808778235201445E-3</v>
      </c>
      <c r="AA147" s="1">
        <f t="shared" si="56"/>
        <v>2.1633034271086784E-3</v>
      </c>
      <c r="AB147" s="1">
        <f t="shared" si="57"/>
        <v>1.337117316325117E-2</v>
      </c>
      <c r="AC147" s="1">
        <f t="shared" si="58"/>
        <v>-8.2356883243837053E-3</v>
      </c>
      <c r="AD147" s="1">
        <f t="shared" si="59"/>
        <v>-1.6435397345180331E-3</v>
      </c>
      <c r="AE147" s="1">
        <f t="shared" si="60"/>
        <v>1.7623870196576497E-3</v>
      </c>
      <c r="AF147" s="1">
        <f t="shared" si="61"/>
        <v>-8.6742351406184949E-3</v>
      </c>
      <c r="AG147" s="1">
        <f t="shared" si="62"/>
        <v>-1.4752213557148218E-2</v>
      </c>
      <c r="AH147" s="1">
        <f t="shared" si="63"/>
        <v>5.2785324591237706E-2</v>
      </c>
      <c r="AW147" s="28"/>
    </row>
    <row r="148" spans="1:49" x14ac:dyDescent="0.3">
      <c r="A148" s="120">
        <v>45502</v>
      </c>
      <c r="B148" s="121" t="s">
        <v>1335</v>
      </c>
      <c r="C148" s="1">
        <v>139.75</v>
      </c>
      <c r="D148" s="121" t="s">
        <v>1336</v>
      </c>
      <c r="E148" s="1">
        <v>168.9169921875</v>
      </c>
      <c r="F148" s="1">
        <v>208.489013671875</v>
      </c>
      <c r="G148" s="121" t="s">
        <v>1337</v>
      </c>
      <c r="H148" s="121" t="s">
        <v>1338</v>
      </c>
      <c r="I148" s="121" t="s">
        <v>1339</v>
      </c>
      <c r="J148" s="1">
        <v>111.5625</v>
      </c>
      <c r="K148" s="121" t="s">
        <v>1340</v>
      </c>
      <c r="M148" s="122">
        <v>45502</v>
      </c>
      <c r="N148" s="1">
        <f t="shared" si="44"/>
        <v>2.5627499627017547E-3</v>
      </c>
      <c r="O148" s="1">
        <f t="shared" si="45"/>
        <v>-9.418075632945307E-3</v>
      </c>
      <c r="P148" s="1">
        <f t="shared" si="46"/>
        <v>-8.1663889727445725E-3</v>
      </c>
      <c r="Q148" s="1">
        <f t="shared" si="47"/>
        <v>4.4729403191810608E-3</v>
      </c>
      <c r="R148" s="1">
        <f t="shared" si="48"/>
        <v>2.0374350932620619E-2</v>
      </c>
      <c r="S148" s="1">
        <f t="shared" si="49"/>
        <v>-5.4257925711990573E-3</v>
      </c>
      <c r="T148" s="1">
        <f t="shared" si="50"/>
        <v>-8.9684852945575728E-3</v>
      </c>
      <c r="U148" s="1">
        <f t="shared" si="51"/>
        <v>-7.0106162030542565E-3</v>
      </c>
      <c r="V148" s="1">
        <f t="shared" si="52"/>
        <v>-7.3039994732735689E-2</v>
      </c>
      <c r="W148" s="1">
        <f t="shared" si="53"/>
        <v>-4.1702079445628676E-2</v>
      </c>
      <c r="Y148" s="1">
        <f t="shared" si="54"/>
        <v>8.9779083039472356E-4</v>
      </c>
      <c r="Z148" s="1">
        <f t="shared" si="55"/>
        <v>-1.1083034765252337E-2</v>
      </c>
      <c r="AA148" s="1">
        <f t="shared" si="56"/>
        <v>-9.831348105051603E-3</v>
      </c>
      <c r="AB148" s="1">
        <f t="shared" si="57"/>
        <v>2.8079811868740295E-3</v>
      </c>
      <c r="AC148" s="1">
        <f t="shared" si="58"/>
        <v>1.8709391800313589E-2</v>
      </c>
      <c r="AD148" s="1">
        <f t="shared" si="59"/>
        <v>-7.0907517035060886E-3</v>
      </c>
      <c r="AE148" s="1">
        <f t="shared" si="60"/>
        <v>-1.0633444426864603E-2</v>
      </c>
      <c r="AF148" s="1">
        <f t="shared" si="61"/>
        <v>-8.675575335361287E-3</v>
      </c>
      <c r="AG148" s="1">
        <f t="shared" si="62"/>
        <v>-7.4704953865042723E-2</v>
      </c>
      <c r="AH148" s="1">
        <f t="shared" si="63"/>
        <v>-4.336703857793571E-2</v>
      </c>
      <c r="AW148" s="28"/>
    </row>
    <row r="149" spans="1:49" x14ac:dyDescent="0.3">
      <c r="A149" s="120">
        <v>45503</v>
      </c>
      <c r="B149" s="121" t="s">
        <v>1341</v>
      </c>
      <c r="C149" s="121" t="s">
        <v>1342</v>
      </c>
      <c r="D149" s="121" t="s">
        <v>1343</v>
      </c>
      <c r="E149" s="121" t="s">
        <v>1344</v>
      </c>
      <c r="F149" s="121" t="s">
        <v>1345</v>
      </c>
      <c r="G149" s="121" t="s">
        <v>1346</v>
      </c>
      <c r="H149" s="121" t="s">
        <v>1347</v>
      </c>
      <c r="I149" s="121" t="s">
        <v>1348</v>
      </c>
      <c r="J149" s="121" t="s">
        <v>1349</v>
      </c>
      <c r="K149" s="121" t="s">
        <v>1350</v>
      </c>
      <c r="M149" s="122">
        <v>45503</v>
      </c>
      <c r="N149" s="1">
        <f t="shared" si="44"/>
        <v>1.4879533898973313E-2</v>
      </c>
      <c r="O149" s="1">
        <f t="shared" si="45"/>
        <v>4.270402369511455E-2</v>
      </c>
      <c r="P149" s="1">
        <f t="shared" si="46"/>
        <v>2.8589589804123045E-2</v>
      </c>
      <c r="Q149" s="1">
        <f t="shared" si="47"/>
        <v>7.3134504819166793E-3</v>
      </c>
      <c r="R149" s="1">
        <f t="shared" si="48"/>
        <v>-1.1168589409524182E-2</v>
      </c>
      <c r="S149" s="1">
        <f t="shared" si="49"/>
        <v>2.4819545289818484E-2</v>
      </c>
      <c r="T149" s="1">
        <f t="shared" si="50"/>
        <v>-1.0864691649310421E-2</v>
      </c>
      <c r="U149" s="1">
        <f t="shared" si="51"/>
        <v>9.2251356190122084E-3</v>
      </c>
      <c r="V149" s="1">
        <f t="shared" si="52"/>
        <v>0.12055337804866262</v>
      </c>
      <c r="W149" s="1">
        <f t="shared" si="53"/>
        <v>4.157282172336782E-2</v>
      </c>
      <c r="Y149" s="1">
        <f t="shared" si="54"/>
        <v>1.3214574766666282E-2</v>
      </c>
      <c r="Z149" s="1">
        <f t="shared" si="55"/>
        <v>4.1039064562807516E-2</v>
      </c>
      <c r="AA149" s="1">
        <f t="shared" si="56"/>
        <v>2.6924630671816014E-2</v>
      </c>
      <c r="AB149" s="1">
        <f t="shared" si="57"/>
        <v>5.6484913496096479E-3</v>
      </c>
      <c r="AC149" s="1">
        <f t="shared" si="58"/>
        <v>-1.2833548541831212E-2</v>
      </c>
      <c r="AD149" s="1">
        <f t="shared" si="59"/>
        <v>2.3154586157511453E-2</v>
      </c>
      <c r="AE149" s="1">
        <f t="shared" si="60"/>
        <v>-1.2529650781617451E-2</v>
      </c>
      <c r="AF149" s="1">
        <f t="shared" si="61"/>
        <v>7.5601764867051771E-3</v>
      </c>
      <c r="AG149" s="1">
        <f t="shared" si="62"/>
        <v>0.11888841891635558</v>
      </c>
      <c r="AH149" s="1">
        <f t="shared" si="63"/>
        <v>3.9907862591060786E-2</v>
      </c>
      <c r="AW149" s="28"/>
    </row>
    <row r="150" spans="1:49" x14ac:dyDescent="0.3">
      <c r="A150" s="120">
        <v>45504</v>
      </c>
      <c r="B150" s="121" t="s">
        <v>1351</v>
      </c>
      <c r="C150" s="121" t="s">
        <v>1352</v>
      </c>
      <c r="D150" s="121" t="s">
        <v>1353</v>
      </c>
      <c r="E150" s="121" t="s">
        <v>1354</v>
      </c>
      <c r="F150" s="121" t="s">
        <v>1355</v>
      </c>
      <c r="G150" s="121" t="s">
        <v>1356</v>
      </c>
      <c r="H150" s="121" t="s">
        <v>1357</v>
      </c>
      <c r="I150" s="121" t="s">
        <v>1358</v>
      </c>
      <c r="J150" s="121" t="s">
        <v>1359</v>
      </c>
      <c r="K150" s="121" t="s">
        <v>1360</v>
      </c>
      <c r="M150" s="122">
        <v>45504</v>
      </c>
      <c r="N150" s="1">
        <f t="shared" si="44"/>
        <v>-1.6892650123624942E-2</v>
      </c>
      <c r="O150" s="1">
        <f t="shared" si="45"/>
        <v>-8.625662409270804E-2</v>
      </c>
      <c r="P150" s="1">
        <f t="shared" si="46"/>
        <v>-1.5685476578315555E-2</v>
      </c>
      <c r="Q150" s="1">
        <f t="shared" si="47"/>
        <v>-4.5573032242097675E-3</v>
      </c>
      <c r="R150" s="1">
        <f t="shared" si="48"/>
        <v>-2.3006969639328891E-2</v>
      </c>
      <c r="S150" s="1">
        <f t="shared" si="49"/>
        <v>4.7121019916017241E-2</v>
      </c>
      <c r="T150" s="1">
        <f t="shared" si="50"/>
        <v>-2.9684863394692554E-3</v>
      </c>
      <c r="U150" s="1">
        <f t="shared" si="51"/>
        <v>-5.5857153469968815E-3</v>
      </c>
      <c r="V150" s="1">
        <f t="shared" si="52"/>
        <v>-6.9072085649890799E-2</v>
      </c>
      <c r="W150" s="1">
        <f t="shared" si="53"/>
        <v>-6.7787094996520442E-2</v>
      </c>
      <c r="Y150" s="1">
        <f t="shared" si="54"/>
        <v>-1.8557609255931973E-2</v>
      </c>
      <c r="Z150" s="1">
        <f t="shared" si="55"/>
        <v>-8.7921583225015074E-2</v>
      </c>
      <c r="AA150" s="1">
        <f t="shared" si="56"/>
        <v>-1.7350435710622586E-2</v>
      </c>
      <c r="AB150" s="1">
        <f t="shared" si="57"/>
        <v>-6.2222623565167988E-3</v>
      </c>
      <c r="AC150" s="1">
        <f t="shared" si="58"/>
        <v>-2.4671928771635921E-2</v>
      </c>
      <c r="AD150" s="1">
        <f t="shared" si="59"/>
        <v>4.5456060783710207E-2</v>
      </c>
      <c r="AE150" s="1">
        <f t="shared" si="60"/>
        <v>-4.6334454717762864E-3</v>
      </c>
      <c r="AF150" s="1">
        <f t="shared" si="61"/>
        <v>-7.2506744793039129E-3</v>
      </c>
      <c r="AG150" s="1">
        <f t="shared" si="62"/>
        <v>-7.0737044782197833E-2</v>
      </c>
      <c r="AH150" s="1">
        <f t="shared" si="63"/>
        <v>-6.9452054128827476E-2</v>
      </c>
      <c r="AW150" s="28"/>
    </row>
    <row r="151" spans="1:49" x14ac:dyDescent="0.3">
      <c r="A151" s="120">
        <v>45505</v>
      </c>
      <c r="B151" s="121" t="s">
        <v>1361</v>
      </c>
      <c r="C151" s="121" t="s">
        <v>1362</v>
      </c>
      <c r="D151" s="121" t="s">
        <v>1363</v>
      </c>
      <c r="E151" s="121" t="s">
        <v>1364</v>
      </c>
      <c r="F151" s="121" t="s">
        <v>1365</v>
      </c>
      <c r="G151" s="121" t="s">
        <v>1366</v>
      </c>
      <c r="H151" s="121" t="s">
        <v>1367</v>
      </c>
      <c r="I151" s="121" t="s">
        <v>1368</v>
      </c>
      <c r="J151" s="121" t="s">
        <v>1369</v>
      </c>
      <c r="K151" s="121" t="s">
        <v>1370</v>
      </c>
      <c r="M151" s="122">
        <v>45505</v>
      </c>
      <c r="N151" s="1">
        <f t="shared" si="44"/>
        <v>6.8459931230266087E-3</v>
      </c>
      <c r="O151" s="1">
        <f t="shared" si="45"/>
        <v>-3.0179057839289035E-4</v>
      </c>
      <c r="P151" s="1">
        <f t="shared" si="46"/>
        <v>-9.1947632103620905E-2</v>
      </c>
      <c r="Q151" s="1">
        <f t="shared" si="47"/>
        <v>-2.4303161940306423E-2</v>
      </c>
      <c r="R151" s="1">
        <f t="shared" si="48"/>
        <v>-4.3337729428889464E-2</v>
      </c>
      <c r="S151" s="1">
        <f t="shared" si="49"/>
        <v>-1.947562924773167E-2</v>
      </c>
      <c r="T151" s="1">
        <f t="shared" si="50"/>
        <v>-2.0882495704154146E-2</v>
      </c>
      <c r="U151" s="1">
        <f t="shared" si="51"/>
        <v>-1.8103121011955981E-2</v>
      </c>
      <c r="V151" s="1">
        <f t="shared" si="52"/>
        <v>-1.7923681738092081E-2</v>
      </c>
      <c r="W151" s="1">
        <f t="shared" si="53"/>
        <v>-4.3301714320779186E-2</v>
      </c>
      <c r="Y151" s="1">
        <f t="shared" si="54"/>
        <v>5.1810339907195774E-3</v>
      </c>
      <c r="Z151" s="1">
        <f t="shared" si="55"/>
        <v>-1.9667497106999215E-3</v>
      </c>
      <c r="AA151" s="1">
        <f t="shared" si="56"/>
        <v>-9.3612591235927939E-2</v>
      </c>
      <c r="AB151" s="1">
        <f t="shared" si="57"/>
        <v>-2.5968121072613454E-2</v>
      </c>
      <c r="AC151" s="1">
        <f t="shared" si="58"/>
        <v>-4.5002688561196498E-2</v>
      </c>
      <c r="AD151" s="1">
        <f t="shared" si="59"/>
        <v>-2.11405883800387E-2</v>
      </c>
      <c r="AE151" s="1">
        <f t="shared" si="60"/>
        <v>-2.2547454836461176E-2</v>
      </c>
      <c r="AF151" s="1">
        <f t="shared" si="61"/>
        <v>-1.9768080144263012E-2</v>
      </c>
      <c r="AG151" s="1">
        <f t="shared" si="62"/>
        <v>-1.9588640870399111E-2</v>
      </c>
      <c r="AH151" s="1">
        <f t="shared" si="63"/>
        <v>-4.496667345308622E-2</v>
      </c>
      <c r="AW151" s="28"/>
    </row>
    <row r="152" spans="1:49" x14ac:dyDescent="0.3">
      <c r="A152" s="120">
        <v>45506</v>
      </c>
      <c r="B152" s="121" t="s">
        <v>1371</v>
      </c>
      <c r="C152" s="1">
        <v>132.5</v>
      </c>
      <c r="D152" s="121" t="s">
        <v>1372</v>
      </c>
      <c r="E152" s="1">
        <v>166.057373046875</v>
      </c>
      <c r="F152" s="121" t="s">
        <v>1373</v>
      </c>
      <c r="G152" s="121" t="s">
        <v>1374</v>
      </c>
      <c r="H152" s="121" t="s">
        <v>1375</v>
      </c>
      <c r="I152" s="121" t="s">
        <v>1376</v>
      </c>
      <c r="J152" s="121" t="s">
        <v>1377</v>
      </c>
      <c r="K152" s="121" t="s">
        <v>1378</v>
      </c>
      <c r="M152" s="122">
        <v>45506</v>
      </c>
      <c r="N152" s="1">
        <f t="shared" si="44"/>
        <v>-4.9365658652923583E-2</v>
      </c>
      <c r="O152" s="1">
        <f t="shared" si="45"/>
        <v>1.7357964324915723E-2</v>
      </c>
      <c r="P152" s="1">
        <f t="shared" si="46"/>
        <v>-4.1839920325847144E-2</v>
      </c>
      <c r="Q152" s="1">
        <f t="shared" si="47"/>
        <v>-4.548063016898822E-2</v>
      </c>
      <c r="R152" s="1">
        <f t="shared" si="48"/>
        <v>-2.1521555321788208E-2</v>
      </c>
      <c r="S152" s="1">
        <f t="shared" si="49"/>
        <v>-2.5751716641768108E-2</v>
      </c>
      <c r="T152" s="1">
        <f t="shared" si="50"/>
        <v>-3.3201949908203091E-2</v>
      </c>
      <c r="U152" s="1">
        <f t="shared" si="51"/>
        <v>-2.4898417544919036E-2</v>
      </c>
      <c r="V152" s="1">
        <f t="shared" si="52"/>
        <v>-6.5688946196981776E-2</v>
      </c>
      <c r="W152" s="1">
        <f t="shared" si="53"/>
        <v>-4.3248620223800598E-2</v>
      </c>
      <c r="Y152" s="1">
        <f t="shared" si="54"/>
        <v>-5.1030617785230617E-2</v>
      </c>
      <c r="Z152" s="1">
        <f t="shared" si="55"/>
        <v>1.5693005192608692E-2</v>
      </c>
      <c r="AA152" s="1">
        <f t="shared" si="56"/>
        <v>-4.3504879458154178E-2</v>
      </c>
      <c r="AB152" s="1">
        <f t="shared" si="57"/>
        <v>-4.7145589301295254E-2</v>
      </c>
      <c r="AC152" s="1">
        <f t="shared" si="58"/>
        <v>-2.3186514454095239E-2</v>
      </c>
      <c r="AD152" s="1">
        <f t="shared" si="59"/>
        <v>-2.7416675774075139E-2</v>
      </c>
      <c r="AE152" s="1">
        <f t="shared" si="60"/>
        <v>-3.4866909040510125E-2</v>
      </c>
      <c r="AF152" s="1">
        <f t="shared" si="61"/>
        <v>-2.6563376677226067E-2</v>
      </c>
      <c r="AG152" s="1">
        <f t="shared" si="62"/>
        <v>-6.735390532928881E-2</v>
      </c>
      <c r="AH152" s="1">
        <f t="shared" si="63"/>
        <v>-4.4913579356107632E-2</v>
      </c>
      <c r="AW152" s="28"/>
    </row>
    <row r="153" spans="1:49" x14ac:dyDescent="0.3">
      <c r="A153" s="120">
        <v>45509</v>
      </c>
      <c r="B153" s="121" t="s">
        <v>1379</v>
      </c>
      <c r="C153" s="121" t="s">
        <v>1380</v>
      </c>
      <c r="D153" s="121" t="s">
        <v>1381</v>
      </c>
      <c r="E153" s="121" t="s">
        <v>1382</v>
      </c>
      <c r="F153" s="121" t="s">
        <v>1383</v>
      </c>
      <c r="G153" s="1">
        <v>474.471435546875</v>
      </c>
      <c r="H153" s="121" t="s">
        <v>1384</v>
      </c>
      <c r="I153" s="121" t="s">
        <v>1385</v>
      </c>
      <c r="J153" s="121" t="s">
        <v>1386</v>
      </c>
      <c r="K153" s="121" t="s">
        <v>1387</v>
      </c>
      <c r="M153" s="122">
        <v>45509</v>
      </c>
      <c r="N153" s="1">
        <f t="shared" si="44"/>
        <v>-9.7960985502209153E-3</v>
      </c>
      <c r="O153" s="1">
        <f t="shared" si="45"/>
        <v>-3.5022557869197543E-2</v>
      </c>
      <c r="P153" s="1">
        <f t="shared" si="46"/>
        <v>5.6354904490489698E-3</v>
      </c>
      <c r="Q153" s="1">
        <f t="shared" si="47"/>
        <v>-6.0464949892635672E-3</v>
      </c>
      <c r="R153" s="1">
        <f t="shared" si="48"/>
        <v>2.7529338011597317E-2</v>
      </c>
      <c r="S153" s="1">
        <f t="shared" si="49"/>
        <v>3.7867166742463688E-2</v>
      </c>
      <c r="T153" s="1">
        <f t="shared" si="50"/>
        <v>1.1223587559284013E-2</v>
      </c>
      <c r="U153" s="1">
        <f t="shared" si="51"/>
        <v>1.8243759275377254E-2</v>
      </c>
      <c r="V153" s="1">
        <f t="shared" si="52"/>
        <v>3.7131706090680137E-2</v>
      </c>
      <c r="W153" s="1">
        <f t="shared" si="53"/>
        <v>8.8106020885811241E-3</v>
      </c>
      <c r="Y153" s="1">
        <f t="shared" si="54"/>
        <v>-1.1461057682527946E-2</v>
      </c>
      <c r="Z153" s="1">
        <f t="shared" si="55"/>
        <v>-3.6687517001504577E-2</v>
      </c>
      <c r="AA153" s="1">
        <f t="shared" si="56"/>
        <v>3.9705313167419385E-3</v>
      </c>
      <c r="AB153" s="1">
        <f t="shared" si="57"/>
        <v>-7.7114541215705986E-3</v>
      </c>
      <c r="AC153" s="1">
        <f t="shared" si="58"/>
        <v>2.5864378879290287E-2</v>
      </c>
      <c r="AD153" s="1">
        <f t="shared" si="59"/>
        <v>3.6202207610156655E-2</v>
      </c>
      <c r="AE153" s="1">
        <f t="shared" si="60"/>
        <v>9.5586284269769829E-3</v>
      </c>
      <c r="AF153" s="1">
        <f t="shared" si="61"/>
        <v>1.6578800143070224E-2</v>
      </c>
      <c r="AG153" s="1">
        <f t="shared" si="62"/>
        <v>3.5466746958373103E-2</v>
      </c>
      <c r="AH153" s="1">
        <f t="shared" si="63"/>
        <v>7.1456429562740927E-3</v>
      </c>
      <c r="AW153" s="28"/>
    </row>
    <row r="154" spans="1:49" x14ac:dyDescent="0.3">
      <c r="A154" s="120">
        <v>45510</v>
      </c>
      <c r="B154" s="121" t="s">
        <v>1388</v>
      </c>
      <c r="C154" s="121" t="s">
        <v>1389</v>
      </c>
      <c r="D154" s="121" t="s">
        <v>1390</v>
      </c>
      <c r="E154" s="121" t="s">
        <v>1391</v>
      </c>
      <c r="F154" s="1">
        <v>198.0966796875</v>
      </c>
      <c r="G154" s="121" t="s">
        <v>1392</v>
      </c>
      <c r="H154" s="121" t="s">
        <v>1393</v>
      </c>
      <c r="I154" s="121" t="s">
        <v>1394</v>
      </c>
      <c r="J154" s="121" t="s">
        <v>1395</v>
      </c>
      <c r="K154" s="121" t="s">
        <v>1396</v>
      </c>
      <c r="M154" s="122">
        <v>45510</v>
      </c>
      <c r="N154" s="1">
        <f t="shared" si="44"/>
        <v>1.242075691921816E-2</v>
      </c>
      <c r="O154" s="1">
        <f t="shared" si="45"/>
        <v>-1.1667078915725148E-2</v>
      </c>
      <c r="P154" s="1">
        <f t="shared" si="46"/>
        <v>5.1740897972494598E-3</v>
      </c>
      <c r="Q154" s="1">
        <f t="shared" si="47"/>
        <v>4.0979437895197974E-3</v>
      </c>
      <c r="R154" s="1">
        <f t="shared" si="48"/>
        <v>2.9943606432051618E-4</v>
      </c>
      <c r="S154" s="1">
        <f t="shared" si="49"/>
        <v>-1.051878689461443E-2</v>
      </c>
      <c r="T154" s="1">
        <f t="shared" si="50"/>
        <v>-2.9572098777357714E-3</v>
      </c>
      <c r="U154" s="1">
        <f t="shared" si="51"/>
        <v>3.1284136134702716E-3</v>
      </c>
      <c r="V154" s="1">
        <f t="shared" si="52"/>
        <v>-5.2581363639246453E-2</v>
      </c>
      <c r="W154" s="1">
        <f t="shared" si="53"/>
        <v>-4.5267692922443807E-2</v>
      </c>
      <c r="Y154" s="1">
        <f t="shared" si="54"/>
        <v>1.0755797786911129E-2</v>
      </c>
      <c r="Z154" s="1">
        <f t="shared" si="55"/>
        <v>-1.3332038048032178E-2</v>
      </c>
      <c r="AA154" s="1">
        <f t="shared" si="56"/>
        <v>3.5091306649424284E-3</v>
      </c>
      <c r="AB154" s="1">
        <f t="shared" si="57"/>
        <v>2.432984657212766E-3</v>
      </c>
      <c r="AC154" s="1">
        <f t="shared" si="58"/>
        <v>-1.3655230679865149E-3</v>
      </c>
      <c r="AD154" s="1">
        <f t="shared" si="59"/>
        <v>-1.218374602692146E-2</v>
      </c>
      <c r="AE154" s="1">
        <f t="shared" si="60"/>
        <v>-4.6221690100428023E-3</v>
      </c>
      <c r="AF154" s="1">
        <f t="shared" si="61"/>
        <v>1.4634544811632404E-3</v>
      </c>
      <c r="AG154" s="1">
        <f t="shared" si="62"/>
        <v>-5.4246322771553487E-2</v>
      </c>
      <c r="AH154" s="1">
        <f t="shared" si="63"/>
        <v>-4.6932652054750841E-2</v>
      </c>
      <c r="AW154" s="28"/>
    </row>
    <row r="155" spans="1:49" x14ac:dyDescent="0.3">
      <c r="A155" s="120">
        <v>45511</v>
      </c>
      <c r="B155" s="121" t="s">
        <v>1397</v>
      </c>
      <c r="C155" s="121" t="s">
        <v>1398</v>
      </c>
      <c r="D155" s="121" t="s">
        <v>1399</v>
      </c>
      <c r="E155" s="121" t="s">
        <v>1400</v>
      </c>
      <c r="F155" s="1">
        <v>198.156005859375</v>
      </c>
      <c r="G155" s="121" t="s">
        <v>1401</v>
      </c>
      <c r="H155" s="121" t="s">
        <v>1402</v>
      </c>
      <c r="I155" s="1">
        <v>611.47998046875</v>
      </c>
      <c r="J155" s="121" t="s">
        <v>1403</v>
      </c>
      <c r="K155" s="121" t="s">
        <v>1404</v>
      </c>
      <c r="M155" s="122">
        <v>45511</v>
      </c>
      <c r="N155" s="1">
        <f t="shared" si="44"/>
        <v>1.6496450417701709E-2</v>
      </c>
      <c r="O155" s="1">
        <f t="shared" si="45"/>
        <v>5.7754143842859214E-2</v>
      </c>
      <c r="P155" s="1">
        <f t="shared" si="46"/>
        <v>1.8444073455593672E-2</v>
      </c>
      <c r="Q155" s="1">
        <f t="shared" si="47"/>
        <v>1.9254733864973238E-2</v>
      </c>
      <c r="R155" s="1">
        <f t="shared" si="48"/>
        <v>1.8098782991318788E-2</v>
      </c>
      <c r="S155" s="1">
        <f t="shared" si="49"/>
        <v>4.1486099731393521E-2</v>
      </c>
      <c r="T155" s="1">
        <f t="shared" si="50"/>
        <v>1.0635142529871622E-2</v>
      </c>
      <c r="U155" s="1">
        <f t="shared" si="51"/>
        <v>3.0392965754427747E-2</v>
      </c>
      <c r="V155" s="1">
        <f t="shared" si="52"/>
        <v>5.9464201314676418E-2</v>
      </c>
      <c r="W155" s="1">
        <f t="shared" si="53"/>
        <v>3.625590132901433E-2</v>
      </c>
      <c r="Y155" s="1">
        <f t="shared" si="54"/>
        <v>1.4831491285394679E-2</v>
      </c>
      <c r="Z155" s="1">
        <f t="shared" si="55"/>
        <v>5.608918471055218E-2</v>
      </c>
      <c r="AA155" s="1">
        <f t="shared" si="56"/>
        <v>1.6779114323286642E-2</v>
      </c>
      <c r="AB155" s="1">
        <f t="shared" si="57"/>
        <v>1.7589774732666208E-2</v>
      </c>
      <c r="AC155" s="1">
        <f t="shared" si="58"/>
        <v>1.6433823859011758E-2</v>
      </c>
      <c r="AD155" s="1">
        <f t="shared" si="59"/>
        <v>3.9821140599086487E-2</v>
      </c>
      <c r="AE155" s="1">
        <f t="shared" si="60"/>
        <v>8.970183397564592E-3</v>
      </c>
      <c r="AF155" s="1">
        <f t="shared" si="61"/>
        <v>2.8728006622120716E-2</v>
      </c>
      <c r="AG155" s="1">
        <f t="shared" si="62"/>
        <v>5.7799242182369384E-2</v>
      </c>
      <c r="AH155" s="1">
        <f t="shared" si="63"/>
        <v>3.4590942196707296E-2</v>
      </c>
      <c r="AW155" s="28"/>
    </row>
    <row r="156" spans="1:49" x14ac:dyDescent="0.3">
      <c r="A156" s="120">
        <v>45512</v>
      </c>
      <c r="B156" s="121" t="s">
        <v>1405</v>
      </c>
      <c r="C156" s="121" t="s">
        <v>1406</v>
      </c>
      <c r="D156" s="121" t="s">
        <v>1407</v>
      </c>
      <c r="E156" s="1">
        <v>161.444091796875</v>
      </c>
      <c r="F156" s="121" t="s">
        <v>1408</v>
      </c>
      <c r="G156" s="1">
        <v>508.28173828125</v>
      </c>
      <c r="H156" s="121" t="s">
        <v>1409</v>
      </c>
      <c r="I156" s="121" t="s">
        <v>1410</v>
      </c>
      <c r="J156" s="121" t="s">
        <v>1411</v>
      </c>
      <c r="K156" s="121" t="s">
        <v>1412</v>
      </c>
      <c r="M156" s="122">
        <v>45512</v>
      </c>
      <c r="N156" s="1">
        <f t="shared" si="44"/>
        <v>1.3642517901298794E-2</v>
      </c>
      <c r="O156" s="1">
        <f t="shared" si="45"/>
        <v>-1.515238690459797E-2</v>
      </c>
      <c r="P156" s="1">
        <f t="shared" si="46"/>
        <v>6.8522199395934106E-3</v>
      </c>
      <c r="Q156" s="1">
        <f t="shared" si="47"/>
        <v>1.0070759258415022E-2</v>
      </c>
      <c r="R156" s="1">
        <f t="shared" si="48"/>
        <v>8.4907731214663752E-3</v>
      </c>
      <c r="S156" s="1">
        <f t="shared" si="49"/>
        <v>1.584616407155261E-2</v>
      </c>
      <c r="T156" s="1">
        <f t="shared" si="50"/>
        <v>8.2353844228104725E-3</v>
      </c>
      <c r="U156" s="1">
        <f t="shared" si="51"/>
        <v>5.6791346397152631E-3</v>
      </c>
      <c r="V156" s="1">
        <f t="shared" si="52"/>
        <v>-2.0980555186611745E-3</v>
      </c>
      <c r="W156" s="1">
        <f t="shared" si="53"/>
        <v>5.8169037389357511E-3</v>
      </c>
      <c r="Y156" s="1">
        <f t="shared" si="54"/>
        <v>1.1977558768991764E-2</v>
      </c>
      <c r="Z156" s="1">
        <f t="shared" si="55"/>
        <v>-1.6817346036905E-2</v>
      </c>
      <c r="AA156" s="1">
        <f t="shared" si="56"/>
        <v>5.1872608072863792E-3</v>
      </c>
      <c r="AB156" s="1">
        <f t="shared" si="57"/>
        <v>8.4058001261079918E-3</v>
      </c>
      <c r="AC156" s="1">
        <f t="shared" si="58"/>
        <v>6.8258139891593439E-3</v>
      </c>
      <c r="AD156" s="1">
        <f t="shared" si="59"/>
        <v>1.418120493924558E-2</v>
      </c>
      <c r="AE156" s="1">
        <f t="shared" si="60"/>
        <v>6.5704252905034411E-3</v>
      </c>
      <c r="AF156" s="1">
        <f t="shared" si="61"/>
        <v>4.0141755074082318E-3</v>
      </c>
      <c r="AG156" s="1">
        <f t="shared" si="62"/>
        <v>-3.7630146509682058E-3</v>
      </c>
      <c r="AH156" s="1">
        <f t="shared" si="63"/>
        <v>4.1519446066287198E-3</v>
      </c>
      <c r="AW156" s="28"/>
    </row>
    <row r="157" spans="1:49" x14ac:dyDescent="0.3">
      <c r="A157" s="120">
        <v>45513</v>
      </c>
      <c r="B157" s="121" t="s">
        <v>1413</v>
      </c>
      <c r="C157" s="121" t="s">
        <v>1414</v>
      </c>
      <c r="D157" s="121" t="s">
        <v>1415</v>
      </c>
      <c r="E157" s="121" t="s">
        <v>1416</v>
      </c>
      <c r="F157" s="121" t="s">
        <v>1417</v>
      </c>
      <c r="G157" s="121" t="s">
        <v>1418</v>
      </c>
      <c r="H157" s="121" t="s">
        <v>1419</v>
      </c>
      <c r="I157" s="121" t="s">
        <v>1420</v>
      </c>
      <c r="J157" s="121" t="s">
        <v>1421</v>
      </c>
      <c r="K157" s="1">
        <v>200</v>
      </c>
      <c r="M157" s="122">
        <v>45513</v>
      </c>
      <c r="N157" s="1">
        <f t="shared" si="44"/>
        <v>7.1046049492504374E-3</v>
      </c>
      <c r="O157" s="1">
        <f t="shared" si="45"/>
        <v>1.8447984227211184E-2</v>
      </c>
      <c r="P157" s="1">
        <f t="shared" si="46"/>
        <v>-8.3897282649094253E-4</v>
      </c>
      <c r="Q157" s="1">
        <f t="shared" si="47"/>
        <v>-8.4672857650031665E-3</v>
      </c>
      <c r="R157" s="1">
        <f t="shared" si="48"/>
        <v>1.8932621297654622E-3</v>
      </c>
      <c r="S157" s="1">
        <f t="shared" si="49"/>
        <v>-3.5212675614341568E-3</v>
      </c>
      <c r="T157" s="1">
        <f t="shared" si="50"/>
        <v>1.9439081033436505E-3</v>
      </c>
      <c r="U157" s="1">
        <f t="shared" si="51"/>
        <v>-1.2627267236102117E-3</v>
      </c>
      <c r="V157" s="1">
        <f t="shared" si="52"/>
        <v>3.9954755291781226E-2</v>
      </c>
      <c r="W157" s="1">
        <f t="shared" si="53"/>
        <v>-1.262938858524508E-2</v>
      </c>
      <c r="Y157" s="1">
        <f t="shared" si="54"/>
        <v>5.439645816943406E-3</v>
      </c>
      <c r="Z157" s="1">
        <f t="shared" si="55"/>
        <v>1.6783025094904154E-2</v>
      </c>
      <c r="AA157" s="1">
        <f t="shared" si="56"/>
        <v>-2.5039319587979738E-3</v>
      </c>
      <c r="AB157" s="1">
        <f t="shared" si="57"/>
        <v>-1.0132244897310197E-2</v>
      </c>
      <c r="AC157" s="1">
        <f t="shared" si="58"/>
        <v>2.2830299745843106E-4</v>
      </c>
      <c r="AD157" s="1">
        <f t="shared" si="59"/>
        <v>-5.1862266937411881E-3</v>
      </c>
      <c r="AE157" s="1">
        <f t="shared" si="60"/>
        <v>2.7894897103661939E-4</v>
      </c>
      <c r="AF157" s="1">
        <f t="shared" si="61"/>
        <v>-2.9276858559172426E-3</v>
      </c>
      <c r="AG157" s="1">
        <f t="shared" si="62"/>
        <v>3.8289796159474192E-2</v>
      </c>
      <c r="AH157" s="1">
        <f t="shared" si="63"/>
        <v>-1.429434771755211E-2</v>
      </c>
      <c r="AW157" s="28"/>
    </row>
    <row r="158" spans="1:49" x14ac:dyDescent="0.3">
      <c r="A158" s="120">
        <v>45516</v>
      </c>
      <c r="B158" s="121" t="s">
        <v>1422</v>
      </c>
      <c r="C158" s="121" t="s">
        <v>1423</v>
      </c>
      <c r="D158" s="121" t="s">
        <v>1424</v>
      </c>
      <c r="E158" s="121" t="s">
        <v>1425</v>
      </c>
      <c r="F158" s="121" t="s">
        <v>1426</v>
      </c>
      <c r="G158" s="121" t="s">
        <v>1427</v>
      </c>
      <c r="H158" s="121" t="s">
        <v>1428</v>
      </c>
      <c r="I158" s="121" t="s">
        <v>1429</v>
      </c>
      <c r="J158" s="121" t="s">
        <v>1430</v>
      </c>
      <c r="K158" s="121" t="s">
        <v>1431</v>
      </c>
      <c r="M158" s="122">
        <v>45516</v>
      </c>
      <c r="N158" s="1">
        <f t="shared" si="44"/>
        <v>1.7046946328812953E-2</v>
      </c>
      <c r="O158" s="1">
        <f t="shared" si="45"/>
        <v>3.1380771892145984E-2</v>
      </c>
      <c r="P158" s="1">
        <f t="shared" si="46"/>
        <v>2.0354930507760282E-2</v>
      </c>
      <c r="Q158" s="1">
        <f t="shared" si="47"/>
        <v>1.1456686915767447E-2</v>
      </c>
      <c r="R158" s="1">
        <f t="shared" si="48"/>
        <v>8.4514444665053923E-3</v>
      </c>
      <c r="S158" s="1">
        <f t="shared" si="49"/>
        <v>2.4108528632696372E-2</v>
      </c>
      <c r="T158" s="1">
        <f t="shared" si="50"/>
        <v>1.7543856930329296E-2</v>
      </c>
      <c r="U158" s="1">
        <f t="shared" si="51"/>
        <v>2.3230000350984371E-2</v>
      </c>
      <c r="V158" s="1">
        <f t="shared" si="52"/>
        <v>6.3265030788890592E-2</v>
      </c>
      <c r="W158" s="1">
        <f t="shared" si="53"/>
        <v>5.1032468678535135E-2</v>
      </c>
      <c r="Y158" s="1">
        <f t="shared" si="54"/>
        <v>1.5381987196505922E-2</v>
      </c>
      <c r="Z158" s="1">
        <f t="shared" si="55"/>
        <v>2.9715812759838953E-2</v>
      </c>
      <c r="AA158" s="1">
        <f t="shared" si="56"/>
        <v>1.8689971375453251E-2</v>
      </c>
      <c r="AB158" s="1">
        <f t="shared" si="57"/>
        <v>9.7917277834604164E-3</v>
      </c>
      <c r="AC158" s="1">
        <f t="shared" si="58"/>
        <v>6.7864853341983609E-3</v>
      </c>
      <c r="AD158" s="1">
        <f t="shared" si="59"/>
        <v>2.2443569500389341E-2</v>
      </c>
      <c r="AE158" s="1">
        <f t="shared" si="60"/>
        <v>1.5878897798022266E-2</v>
      </c>
      <c r="AF158" s="1">
        <f t="shared" si="61"/>
        <v>2.156504121867734E-2</v>
      </c>
      <c r="AG158" s="1">
        <f t="shared" si="62"/>
        <v>6.1600071656583558E-2</v>
      </c>
      <c r="AH158" s="1">
        <f t="shared" si="63"/>
        <v>4.9367509546228101E-2</v>
      </c>
      <c r="AW158" s="28"/>
    </row>
    <row r="159" spans="1:49" x14ac:dyDescent="0.3">
      <c r="A159" s="120">
        <v>45517</v>
      </c>
      <c r="B159" s="121" t="s">
        <v>1432</v>
      </c>
      <c r="C159" s="121" t="s">
        <v>1433</v>
      </c>
      <c r="D159" s="121" t="s">
        <v>1434</v>
      </c>
      <c r="E159" s="1">
        <v>163.56640625</v>
      </c>
      <c r="F159" s="121" t="s">
        <v>1435</v>
      </c>
      <c r="G159" s="121" t="s">
        <v>1436</v>
      </c>
      <c r="H159" s="121" t="s">
        <v>1437</v>
      </c>
      <c r="I159" s="1">
        <v>648.02001953125</v>
      </c>
      <c r="J159" s="121" t="s">
        <v>1438</v>
      </c>
      <c r="K159" s="121" t="s">
        <v>228</v>
      </c>
      <c r="M159" s="122">
        <v>45517</v>
      </c>
      <c r="N159" s="1">
        <f t="shared" si="44"/>
        <v>2.0316191328698845E-3</v>
      </c>
      <c r="O159" s="1">
        <f t="shared" si="45"/>
        <v>-2.6962190040886471E-3</v>
      </c>
      <c r="P159" s="1">
        <f t="shared" si="46"/>
        <v>-7.6390344457386255E-4</v>
      </c>
      <c r="Q159" s="1">
        <f t="shared" si="47"/>
        <v>-2.3357982729529478E-2</v>
      </c>
      <c r="R159" s="1">
        <f t="shared" si="48"/>
        <v>1.1000234617167445E-2</v>
      </c>
      <c r="S159" s="1">
        <f t="shared" si="49"/>
        <v>-3.3734093093484518E-3</v>
      </c>
      <c r="T159" s="1">
        <f t="shared" si="50"/>
        <v>6.8602777412251773E-3</v>
      </c>
      <c r="U159" s="1">
        <f t="shared" si="51"/>
        <v>2.0860454101122222E-2</v>
      </c>
      <c r="V159" s="1">
        <f t="shared" si="52"/>
        <v>1.6566064111714789E-2</v>
      </c>
      <c r="W159" s="1">
        <f t="shared" si="53"/>
        <v>-3.1526751907100893E-2</v>
      </c>
      <c r="Y159" s="1">
        <f t="shared" si="54"/>
        <v>3.6666000056285336E-4</v>
      </c>
      <c r="Z159" s="1">
        <f t="shared" si="55"/>
        <v>-4.361178136395678E-3</v>
      </c>
      <c r="AA159" s="1">
        <f t="shared" si="56"/>
        <v>-2.4288625768808937E-3</v>
      </c>
      <c r="AB159" s="1">
        <f t="shared" si="57"/>
        <v>-2.5022941861836508E-2</v>
      </c>
      <c r="AC159" s="1">
        <f t="shared" si="58"/>
        <v>9.3352754848604145E-3</v>
      </c>
      <c r="AD159" s="1">
        <f t="shared" si="59"/>
        <v>-5.0383684416554827E-3</v>
      </c>
      <c r="AE159" s="1">
        <f t="shared" si="60"/>
        <v>5.1953186089181459E-3</v>
      </c>
      <c r="AF159" s="1">
        <f t="shared" si="61"/>
        <v>1.9195494968815192E-2</v>
      </c>
      <c r="AG159" s="1">
        <f t="shared" si="62"/>
        <v>1.4901104979407758E-2</v>
      </c>
      <c r="AH159" s="1">
        <f t="shared" si="63"/>
        <v>-3.3191711039407927E-2</v>
      </c>
      <c r="AW159" s="28"/>
    </row>
    <row r="160" spans="1:49" x14ac:dyDescent="0.3">
      <c r="A160" s="120">
        <v>45518</v>
      </c>
      <c r="B160" s="121" t="s">
        <v>1439</v>
      </c>
      <c r="C160" s="1">
        <v>140.75</v>
      </c>
      <c r="D160" s="121" t="s">
        <v>1440</v>
      </c>
      <c r="E160" s="121" t="s">
        <v>1441</v>
      </c>
      <c r="F160" s="121" t="s">
        <v>1442</v>
      </c>
      <c r="G160" s="121" t="s">
        <v>1443</v>
      </c>
      <c r="H160" s="121" t="s">
        <v>1444</v>
      </c>
      <c r="I160" s="121" t="s">
        <v>1445</v>
      </c>
      <c r="J160" s="121" t="s">
        <v>1446</v>
      </c>
      <c r="K160" s="121" t="s">
        <v>1447</v>
      </c>
      <c r="M160" s="122">
        <v>45518</v>
      </c>
      <c r="N160" s="1">
        <f t="shared" si="44"/>
        <v>1.3439841891571297E-2</v>
      </c>
      <c r="O160" s="1">
        <f t="shared" si="45"/>
        <v>4.5893309629101056E-2</v>
      </c>
      <c r="P160" s="1">
        <f t="shared" si="46"/>
        <v>4.3090966761615855E-2</v>
      </c>
      <c r="Q160" s="1">
        <f t="shared" si="47"/>
        <v>5.7824260511700224E-3</v>
      </c>
      <c r="R160" s="1">
        <f t="shared" si="48"/>
        <v>6.2116538990103845E-3</v>
      </c>
      <c r="S160" s="1">
        <f t="shared" si="49"/>
        <v>1.9867426548878818E-2</v>
      </c>
      <c r="T160" s="1">
        <f t="shared" si="50"/>
        <v>1.1754476310525555E-2</v>
      </c>
      <c r="U160" s="1">
        <f t="shared" si="51"/>
        <v>2.3246716936009756E-3</v>
      </c>
      <c r="V160" s="1">
        <f t="shared" si="52"/>
        <v>3.968308422695857E-2</v>
      </c>
      <c r="W160" s="1">
        <f t="shared" si="53"/>
        <v>6.1436309145650632E-2</v>
      </c>
      <c r="Y160" s="1">
        <f t="shared" si="54"/>
        <v>1.1774882759264266E-2</v>
      </c>
      <c r="Z160" s="1">
        <f t="shared" si="55"/>
        <v>4.4228350496794022E-2</v>
      </c>
      <c r="AA160" s="1">
        <f t="shared" si="56"/>
        <v>4.1426007629308821E-2</v>
      </c>
      <c r="AB160" s="1">
        <f t="shared" si="57"/>
        <v>4.1174669188629911E-3</v>
      </c>
      <c r="AC160" s="1">
        <f t="shared" si="58"/>
        <v>4.5466947667033531E-3</v>
      </c>
      <c r="AD160" s="1">
        <f t="shared" si="59"/>
        <v>1.8202467416571787E-2</v>
      </c>
      <c r="AE160" s="1">
        <f t="shared" si="60"/>
        <v>1.0089517178218524E-2</v>
      </c>
      <c r="AF160" s="1">
        <f t="shared" si="61"/>
        <v>6.597125612939445E-4</v>
      </c>
      <c r="AG160" s="1">
        <f t="shared" si="62"/>
        <v>3.8018125094651536E-2</v>
      </c>
      <c r="AH160" s="1">
        <f t="shared" si="63"/>
        <v>5.9771350013343598E-2</v>
      </c>
      <c r="AW160" s="28"/>
    </row>
    <row r="161" spans="1:49" x14ac:dyDescent="0.3">
      <c r="A161" s="120">
        <v>45519</v>
      </c>
      <c r="B161" s="121" t="s">
        <v>1448</v>
      </c>
      <c r="C161" s="121" t="s">
        <v>1449</v>
      </c>
      <c r="D161" s="121" t="s">
        <v>1450</v>
      </c>
      <c r="E161" s="121" t="s">
        <v>1451</v>
      </c>
      <c r="F161" s="121" t="s">
        <v>1452</v>
      </c>
      <c r="G161" s="1">
        <v>535.908447265625</v>
      </c>
      <c r="H161" s="121" t="s">
        <v>1453</v>
      </c>
      <c r="I161" s="1">
        <v>663.219970703125</v>
      </c>
      <c r="J161" s="121" t="s">
        <v>1454</v>
      </c>
      <c r="K161" s="121" t="s">
        <v>1455</v>
      </c>
      <c r="M161" s="122">
        <v>45519</v>
      </c>
      <c r="N161" s="1">
        <f t="shared" si="44"/>
        <v>5.9010671300018793E-3</v>
      </c>
      <c r="O161" s="1">
        <f t="shared" si="45"/>
        <v>8.1103239617381258E-3</v>
      </c>
      <c r="P161" s="1">
        <f t="shared" si="46"/>
        <v>-2.9888576510365764E-3</v>
      </c>
      <c r="Q161" s="1">
        <f t="shared" si="47"/>
        <v>1.0238750677222467E-2</v>
      </c>
      <c r="R161" s="1">
        <f t="shared" si="48"/>
        <v>1.1374423859134597E-2</v>
      </c>
      <c r="S161" s="1">
        <f t="shared" si="49"/>
        <v>-1.8615364820199876E-2</v>
      </c>
      <c r="T161" s="1">
        <f t="shared" si="50"/>
        <v>-6.0988891307802882E-3</v>
      </c>
      <c r="U161" s="1">
        <f t="shared" si="51"/>
        <v>1.6227257943786079E-2</v>
      </c>
      <c r="V161" s="1">
        <f t="shared" si="52"/>
        <v>1.3902627556763471E-2</v>
      </c>
      <c r="W161" s="1">
        <f t="shared" si="53"/>
        <v>9.2037825029240902E-3</v>
      </c>
      <c r="Y161" s="1">
        <f t="shared" si="54"/>
        <v>4.236107997694848E-3</v>
      </c>
      <c r="Z161" s="1">
        <f t="shared" si="55"/>
        <v>6.4453648294310944E-3</v>
      </c>
      <c r="AA161" s="1">
        <f t="shared" si="56"/>
        <v>-4.6538167833436077E-3</v>
      </c>
      <c r="AB161" s="1">
        <f t="shared" si="57"/>
        <v>8.5737915449154364E-3</v>
      </c>
      <c r="AC161" s="1">
        <f t="shared" si="58"/>
        <v>9.7094647268275661E-3</v>
      </c>
      <c r="AD161" s="1">
        <f t="shared" si="59"/>
        <v>-2.0280323952506906E-2</v>
      </c>
      <c r="AE161" s="1">
        <f t="shared" si="60"/>
        <v>-7.7638482630873196E-3</v>
      </c>
      <c r="AF161" s="1">
        <f t="shared" si="61"/>
        <v>1.4562298811479048E-2</v>
      </c>
      <c r="AG161" s="1">
        <f t="shared" si="62"/>
        <v>1.2237668424456441E-2</v>
      </c>
      <c r="AH161" s="1">
        <f t="shared" si="63"/>
        <v>7.5388233706170588E-3</v>
      </c>
      <c r="AW161" s="28"/>
    </row>
    <row r="162" spans="1:49" x14ac:dyDescent="0.3">
      <c r="A162" s="120">
        <v>45520</v>
      </c>
      <c r="B162" s="121" t="s">
        <v>1456</v>
      </c>
      <c r="C162" s="121" t="s">
        <v>1457</v>
      </c>
      <c r="D162" s="121" t="s">
        <v>1458</v>
      </c>
      <c r="E162" s="121" t="s">
        <v>1459</v>
      </c>
      <c r="F162" s="121" t="s">
        <v>1460</v>
      </c>
      <c r="G162" s="121" t="s">
        <v>1461</v>
      </c>
      <c r="H162" s="121" t="s">
        <v>1462</v>
      </c>
      <c r="I162" s="121" t="s">
        <v>1463</v>
      </c>
      <c r="J162" s="121" t="s">
        <v>1464</v>
      </c>
      <c r="K162" s="121" t="s">
        <v>1465</v>
      </c>
      <c r="M162" s="122">
        <v>45520</v>
      </c>
      <c r="N162" s="1">
        <f t="shared" si="44"/>
        <v>-7.0814439359185807E-4</v>
      </c>
      <c r="O162" s="1">
        <f t="shared" si="45"/>
        <v>4.4241030388807126E-2</v>
      </c>
      <c r="P162" s="1">
        <f t="shared" si="46"/>
        <v>6.5301046396729935E-3</v>
      </c>
      <c r="Q162" s="1">
        <f t="shared" si="47"/>
        <v>2.2511094588875079E-2</v>
      </c>
      <c r="R162" s="1">
        <f t="shared" si="48"/>
        <v>6.892959653687936E-3</v>
      </c>
      <c r="S162" s="1">
        <f t="shared" si="49"/>
        <v>3.5205575846038056E-3</v>
      </c>
      <c r="T162" s="1">
        <f t="shared" si="50"/>
        <v>7.2857084064297502E-3</v>
      </c>
      <c r="U162" s="1">
        <f t="shared" si="51"/>
        <v>2.1224958802159456E-2</v>
      </c>
      <c r="V162" s="1">
        <f t="shared" si="52"/>
        <v>4.2586240012896973E-2</v>
      </c>
      <c r="W162" s="1">
        <f t="shared" si="53"/>
        <v>3.008159624414054E-2</v>
      </c>
      <c r="Y162" s="1">
        <f t="shared" si="54"/>
        <v>-2.3731035258988892E-3</v>
      </c>
      <c r="Z162" s="1">
        <f t="shared" si="55"/>
        <v>4.2576071256500092E-2</v>
      </c>
      <c r="AA162" s="1">
        <f t="shared" si="56"/>
        <v>4.8651455073659622E-3</v>
      </c>
      <c r="AB162" s="1">
        <f t="shared" si="57"/>
        <v>2.0846135456568049E-2</v>
      </c>
      <c r="AC162" s="1">
        <f t="shared" si="58"/>
        <v>5.2280005213809046E-3</v>
      </c>
      <c r="AD162" s="1">
        <f t="shared" si="59"/>
        <v>1.8555984522967744E-3</v>
      </c>
      <c r="AE162" s="1">
        <f t="shared" si="60"/>
        <v>5.6207492741227189E-3</v>
      </c>
      <c r="AF162" s="1">
        <f t="shared" si="61"/>
        <v>1.9559999669852425E-2</v>
      </c>
      <c r="AG162" s="1">
        <f t="shared" si="62"/>
        <v>4.0921280880589939E-2</v>
      </c>
      <c r="AH162" s="1">
        <f t="shared" si="63"/>
        <v>2.8416637111833509E-2</v>
      </c>
      <c r="AW162" s="28"/>
    </row>
    <row r="163" spans="1:49" x14ac:dyDescent="0.3">
      <c r="A163" s="120">
        <v>45523</v>
      </c>
      <c r="B163" s="121" t="s">
        <v>1466</v>
      </c>
      <c r="C163" s="121" t="s">
        <v>1467</v>
      </c>
      <c r="D163" s="121" t="s">
        <v>456</v>
      </c>
      <c r="E163" s="121" t="s">
        <v>1468</v>
      </c>
      <c r="F163" s="121" t="s">
        <v>1469</v>
      </c>
      <c r="G163" s="121" t="s">
        <v>1470</v>
      </c>
      <c r="H163" s="121" t="s">
        <v>1471</v>
      </c>
      <c r="I163" s="1">
        <v>688.530029296875</v>
      </c>
      <c r="J163" s="121" t="s">
        <v>1472</v>
      </c>
      <c r="K163" s="121" t="s">
        <v>1473</v>
      </c>
      <c r="M163" s="122">
        <v>45523</v>
      </c>
      <c r="N163" s="1">
        <f t="shared" si="44"/>
        <v>2.7410005797989701E-3</v>
      </c>
      <c r="O163" s="1">
        <f t="shared" si="45"/>
        <v>7.1868580867253786E-3</v>
      </c>
      <c r="P163" s="1">
        <f t="shared" si="46"/>
        <v>3.6964682293224626E-3</v>
      </c>
      <c r="Q163" s="1">
        <f t="shared" si="47"/>
        <v>3.0552205225372938E-3</v>
      </c>
      <c r="R163" s="1">
        <f t="shared" si="48"/>
        <v>-4.3258174941885868E-3</v>
      </c>
      <c r="S163" s="1">
        <f t="shared" si="49"/>
        <v>-4.8296635338951422E-3</v>
      </c>
      <c r="T163" s="1">
        <f t="shared" si="50"/>
        <v>7.7275703317229586E-3</v>
      </c>
      <c r="U163" s="1">
        <f t="shared" si="51"/>
        <v>1.4433478417294086E-2</v>
      </c>
      <c r="V163" s="1">
        <f t="shared" si="52"/>
        <v>-2.1380665857224885E-2</v>
      </c>
      <c r="W163" s="1">
        <f t="shared" si="53"/>
        <v>-7.30026715831708E-3</v>
      </c>
      <c r="Y163" s="1">
        <f t="shared" si="54"/>
        <v>1.0760414474919389E-3</v>
      </c>
      <c r="Z163" s="1">
        <f t="shared" si="55"/>
        <v>5.5218989544183472E-3</v>
      </c>
      <c r="AA163" s="1">
        <f t="shared" si="56"/>
        <v>2.0315090970154312E-3</v>
      </c>
      <c r="AB163" s="1">
        <f t="shared" si="57"/>
        <v>1.3902613902302627E-3</v>
      </c>
      <c r="AC163" s="1">
        <f t="shared" si="58"/>
        <v>-5.9907766264956181E-3</v>
      </c>
      <c r="AD163" s="1">
        <f t="shared" si="59"/>
        <v>-6.4946226662021735E-3</v>
      </c>
      <c r="AE163" s="1">
        <f t="shared" si="60"/>
        <v>6.0626111994159272E-3</v>
      </c>
      <c r="AF163" s="1">
        <f t="shared" si="61"/>
        <v>1.2768519284987056E-2</v>
      </c>
      <c r="AG163" s="1">
        <f t="shared" si="62"/>
        <v>-2.3045624989531915E-2</v>
      </c>
      <c r="AH163" s="1">
        <f t="shared" si="63"/>
        <v>-8.9652262906241113E-3</v>
      </c>
      <c r="AW163" s="28"/>
    </row>
    <row r="164" spans="1:49" x14ac:dyDescent="0.3">
      <c r="A164" s="120">
        <v>45524</v>
      </c>
      <c r="B164" s="121" t="s">
        <v>1474</v>
      </c>
      <c r="C164" s="121" t="s">
        <v>1475</v>
      </c>
      <c r="D164" s="121" t="s">
        <v>1476</v>
      </c>
      <c r="E164" s="121" t="s">
        <v>1477</v>
      </c>
      <c r="F164" s="1">
        <v>212.117919921875</v>
      </c>
      <c r="G164" s="1">
        <v>525.33642578125</v>
      </c>
      <c r="H164" s="1">
        <v>423.10302734375</v>
      </c>
      <c r="I164" s="121" t="s">
        <v>1478</v>
      </c>
      <c r="J164" s="121" t="s">
        <v>1479</v>
      </c>
      <c r="K164" s="121" t="s">
        <v>1480</v>
      </c>
      <c r="M164" s="122">
        <v>45524</v>
      </c>
      <c r="N164" s="1">
        <f t="shared" si="44"/>
        <v>-4.857390312883229E-4</v>
      </c>
      <c r="O164" s="1">
        <f t="shared" si="45"/>
        <v>8.9749732033227291E-3</v>
      </c>
      <c r="P164" s="1">
        <f t="shared" si="46"/>
        <v>6.8525614744213634E-3</v>
      </c>
      <c r="Q164" s="1">
        <f t="shared" si="47"/>
        <v>-7.9873382787169125E-3</v>
      </c>
      <c r="R164" s="1">
        <f t="shared" si="48"/>
        <v>3.7284363899213246E-4</v>
      </c>
      <c r="S164" s="1">
        <f t="shared" si="49"/>
        <v>1.5877718358998115E-2</v>
      </c>
      <c r="T164" s="1">
        <f t="shared" si="50"/>
        <v>-1.5548454170332723E-3</v>
      </c>
      <c r="U164" s="1">
        <f t="shared" si="51"/>
        <v>-2.0348558064987379E-3</v>
      </c>
      <c r="V164" s="1">
        <f t="shared" si="52"/>
        <v>9.7753298767811105E-3</v>
      </c>
      <c r="W164" s="1">
        <f t="shared" si="53"/>
        <v>9.7667050775657807E-3</v>
      </c>
      <c r="Y164" s="1">
        <f t="shared" si="54"/>
        <v>-2.1506981635953542E-3</v>
      </c>
      <c r="Z164" s="1">
        <f t="shared" si="55"/>
        <v>7.3100140710156978E-3</v>
      </c>
      <c r="AA164" s="1">
        <f t="shared" si="56"/>
        <v>5.187602342114332E-3</v>
      </c>
      <c r="AB164" s="1">
        <f t="shared" si="57"/>
        <v>-9.652297411023943E-3</v>
      </c>
      <c r="AC164" s="1">
        <f t="shared" si="58"/>
        <v>-1.2921154933148986E-3</v>
      </c>
      <c r="AD164" s="1">
        <f t="shared" si="59"/>
        <v>1.4212759226691084E-2</v>
      </c>
      <c r="AE164" s="1">
        <f t="shared" si="60"/>
        <v>-3.2198045493403034E-3</v>
      </c>
      <c r="AF164" s="1">
        <f t="shared" si="61"/>
        <v>-3.6998149388057693E-3</v>
      </c>
      <c r="AG164" s="1">
        <f t="shared" si="62"/>
        <v>8.11037074447408E-3</v>
      </c>
      <c r="AH164" s="1">
        <f t="shared" si="63"/>
        <v>8.1017459452587502E-3</v>
      </c>
      <c r="AW164" s="28"/>
    </row>
    <row r="165" spans="1:49" x14ac:dyDescent="0.3">
      <c r="A165" s="120">
        <v>45525</v>
      </c>
      <c r="B165" s="121" t="s">
        <v>1481</v>
      </c>
      <c r="C165" s="121" t="s">
        <v>1482</v>
      </c>
      <c r="D165" s="121" t="s">
        <v>954</v>
      </c>
      <c r="E165" s="121" t="s">
        <v>1483</v>
      </c>
      <c r="F165" s="1">
        <v>212.197021484375</v>
      </c>
      <c r="G165" s="1">
        <v>533.744140625</v>
      </c>
      <c r="H165" s="121" t="s">
        <v>1484</v>
      </c>
      <c r="I165" s="121" t="s">
        <v>1485</v>
      </c>
      <c r="J165" s="121" t="s">
        <v>1486</v>
      </c>
      <c r="K165" s="121" t="s">
        <v>1487</v>
      </c>
      <c r="M165" s="122">
        <v>45525</v>
      </c>
      <c r="N165" s="1">
        <f t="shared" si="44"/>
        <v>-8.2940729304326298E-3</v>
      </c>
      <c r="O165" s="1">
        <f t="shared" si="45"/>
        <v>-3.9486896052068066E-2</v>
      </c>
      <c r="P165" s="1">
        <f t="shared" si="46"/>
        <v>-2.234539227075729E-2</v>
      </c>
      <c r="Q165" s="1">
        <f t="shared" si="47"/>
        <v>-1.2437500706519543E-2</v>
      </c>
      <c r="R165" s="1">
        <f t="shared" si="48"/>
        <v>9.4149712108034973E-3</v>
      </c>
      <c r="S165" s="1">
        <f t="shared" si="49"/>
        <v>-6.0538301993909166E-3</v>
      </c>
      <c r="T165" s="1">
        <f t="shared" si="50"/>
        <v>-2.0460741470286488E-2</v>
      </c>
      <c r="U165" s="1">
        <f t="shared" si="51"/>
        <v>-1.1774309296370709E-2</v>
      </c>
      <c r="V165" s="1">
        <f t="shared" si="52"/>
        <v>-3.7746495149319617E-2</v>
      </c>
      <c r="W165" s="1">
        <f t="shared" si="53"/>
        <v>-5.8136343753815302E-2</v>
      </c>
      <c r="Y165" s="1">
        <f t="shared" si="54"/>
        <v>-9.9590320627396603E-3</v>
      </c>
      <c r="Z165" s="1">
        <f t="shared" si="55"/>
        <v>-4.11518551843751E-2</v>
      </c>
      <c r="AA165" s="1">
        <f t="shared" si="56"/>
        <v>-2.4010351403064321E-2</v>
      </c>
      <c r="AB165" s="1">
        <f t="shared" si="57"/>
        <v>-1.4102459838826574E-2</v>
      </c>
      <c r="AC165" s="1">
        <f t="shared" si="58"/>
        <v>7.750012078496466E-3</v>
      </c>
      <c r="AD165" s="1">
        <f t="shared" si="59"/>
        <v>-7.718789331697948E-3</v>
      </c>
      <c r="AE165" s="1">
        <f t="shared" si="60"/>
        <v>-2.2125700602593518E-2</v>
      </c>
      <c r="AF165" s="1">
        <f t="shared" si="61"/>
        <v>-1.343926842867774E-2</v>
      </c>
      <c r="AG165" s="1">
        <f t="shared" si="62"/>
        <v>-3.9411454281626651E-2</v>
      </c>
      <c r="AH165" s="1">
        <f t="shared" si="63"/>
        <v>-5.9801302886122336E-2</v>
      </c>
      <c r="AW165" s="28"/>
    </row>
    <row r="166" spans="1:49" x14ac:dyDescent="0.3">
      <c r="A166" s="120">
        <v>45526</v>
      </c>
      <c r="B166" s="121" t="s">
        <v>1488</v>
      </c>
      <c r="C166" s="121" t="s">
        <v>1489</v>
      </c>
      <c r="D166" s="121" t="s">
        <v>1490</v>
      </c>
      <c r="E166" s="121" t="s">
        <v>1491</v>
      </c>
      <c r="F166" s="121" t="s">
        <v>1492</v>
      </c>
      <c r="G166" s="1">
        <v>530.522705078125</v>
      </c>
      <c r="H166" s="121" t="s">
        <v>1493</v>
      </c>
      <c r="I166" s="121" t="s">
        <v>1494</v>
      </c>
      <c r="J166" s="121" t="s">
        <v>1495</v>
      </c>
      <c r="K166" s="121" t="s">
        <v>1496</v>
      </c>
      <c r="M166" s="122">
        <v>45526</v>
      </c>
      <c r="N166" s="1">
        <f t="shared" si="44"/>
        <v>1.0235615003603645E-2</v>
      </c>
      <c r="O166" s="1">
        <f t="shared" si="45"/>
        <v>2.1391182530555723E-2</v>
      </c>
      <c r="P166" s="1">
        <f t="shared" si="46"/>
        <v>5.1532713529291313E-3</v>
      </c>
      <c r="Q166" s="1">
        <f t="shared" si="47"/>
        <v>1.1049722145594304E-2</v>
      </c>
      <c r="R166" s="1">
        <f t="shared" si="48"/>
        <v>7.7251974047737688E-3</v>
      </c>
      <c r="S166" s="1">
        <f t="shared" si="49"/>
        <v>-7.4155288299430589E-3</v>
      </c>
      <c r="T166" s="1">
        <f t="shared" si="50"/>
        <v>2.979627248501733E-3</v>
      </c>
      <c r="U166" s="1">
        <f t="shared" si="51"/>
        <v>-3.2420726374184183E-3</v>
      </c>
      <c r="V166" s="1">
        <f t="shared" si="52"/>
        <v>4.449395595497567E-2</v>
      </c>
      <c r="W166" s="1">
        <f t="shared" si="53"/>
        <v>4.4835591431515193E-2</v>
      </c>
      <c r="Y166" s="1">
        <f t="shared" si="54"/>
        <v>8.5706558712966147E-3</v>
      </c>
      <c r="Z166" s="1">
        <f t="shared" si="55"/>
        <v>1.9726223398248692E-2</v>
      </c>
      <c r="AA166" s="1">
        <f t="shared" si="56"/>
        <v>3.4883122206220999E-3</v>
      </c>
      <c r="AB166" s="1">
        <f t="shared" si="57"/>
        <v>9.3847630132872732E-3</v>
      </c>
      <c r="AC166" s="1">
        <f t="shared" si="58"/>
        <v>6.0602382724667374E-3</v>
      </c>
      <c r="AD166" s="1">
        <f t="shared" si="59"/>
        <v>-9.0804879622500903E-3</v>
      </c>
      <c r="AE166" s="1">
        <f t="shared" si="60"/>
        <v>1.3146681161947018E-3</v>
      </c>
      <c r="AF166" s="1">
        <f t="shared" si="61"/>
        <v>-4.9070317697254492E-3</v>
      </c>
      <c r="AG166" s="1">
        <f t="shared" si="62"/>
        <v>4.2828996822668636E-2</v>
      </c>
      <c r="AH166" s="1">
        <f t="shared" si="63"/>
        <v>4.3170632299208159E-2</v>
      </c>
      <c r="AW166" s="28"/>
    </row>
    <row r="167" spans="1:49" x14ac:dyDescent="0.3">
      <c r="A167" s="120">
        <v>45527</v>
      </c>
      <c r="B167" s="121" t="s">
        <v>1497</v>
      </c>
      <c r="C167" s="121" t="s">
        <v>1498</v>
      </c>
      <c r="D167" s="121" t="s">
        <v>1499</v>
      </c>
      <c r="E167" s="121" t="s">
        <v>1500</v>
      </c>
      <c r="F167" s="121" t="s">
        <v>1501</v>
      </c>
      <c r="G167" s="121" t="s">
        <v>1502</v>
      </c>
      <c r="H167" s="121" t="s">
        <v>1503</v>
      </c>
      <c r="I167" s="1">
        <v>686.72998046875</v>
      </c>
      <c r="J167" s="121" t="s">
        <v>1504</v>
      </c>
      <c r="K167" s="121" t="s">
        <v>1505</v>
      </c>
      <c r="M167" s="122">
        <v>45527</v>
      </c>
      <c r="N167" s="1">
        <f t="shared" si="44"/>
        <v>1.4977110217169103E-3</v>
      </c>
      <c r="O167" s="1">
        <f t="shared" si="45"/>
        <v>-3.2727386937179762E-2</v>
      </c>
      <c r="P167" s="1">
        <f t="shared" si="46"/>
        <v>-8.7366149139854205E-3</v>
      </c>
      <c r="Q167" s="1">
        <f t="shared" si="47"/>
        <v>3.255220643677273E-3</v>
      </c>
      <c r="R167" s="1">
        <f t="shared" si="48"/>
        <v>3.9316939544375195E-3</v>
      </c>
      <c r="S167" s="1">
        <f t="shared" si="49"/>
        <v>-1.3115976412045099E-2</v>
      </c>
      <c r="T167" s="1">
        <f t="shared" si="50"/>
        <v>-7.9491355376510881E-3</v>
      </c>
      <c r="U167" s="1">
        <f t="shared" si="51"/>
        <v>2.4869985169892685E-3</v>
      </c>
      <c r="V167" s="1">
        <f t="shared" si="52"/>
        <v>-2.2750431482397287E-2</v>
      </c>
      <c r="W167" s="1">
        <f t="shared" si="53"/>
        <v>-3.2803441227520588E-2</v>
      </c>
      <c r="Y167" s="1">
        <f t="shared" si="54"/>
        <v>-1.6724811059012088E-4</v>
      </c>
      <c r="Z167" s="1">
        <f t="shared" si="55"/>
        <v>-3.4392346069486796E-2</v>
      </c>
      <c r="AA167" s="1">
        <f t="shared" si="56"/>
        <v>-1.0401574046292451E-2</v>
      </c>
      <c r="AB167" s="1">
        <f t="shared" si="57"/>
        <v>1.5902615113702419E-3</v>
      </c>
      <c r="AC167" s="1">
        <f t="shared" si="58"/>
        <v>2.2667348221304881E-3</v>
      </c>
      <c r="AD167" s="1">
        <f t="shared" si="59"/>
        <v>-1.478093554435213E-2</v>
      </c>
      <c r="AE167" s="1">
        <f t="shared" si="60"/>
        <v>-9.6140946699581186E-3</v>
      </c>
      <c r="AF167" s="1">
        <f t="shared" si="61"/>
        <v>8.2203938468223734E-4</v>
      </c>
      <c r="AG167" s="1">
        <f t="shared" si="62"/>
        <v>-2.4415390614704317E-2</v>
      </c>
      <c r="AH167" s="1">
        <f t="shared" si="63"/>
        <v>-3.4468400359827622E-2</v>
      </c>
      <c r="AW167" s="28"/>
    </row>
    <row r="168" spans="1:49" x14ac:dyDescent="0.3">
      <c r="A168" s="120">
        <v>45530</v>
      </c>
      <c r="B168" s="121" t="s">
        <v>1506</v>
      </c>
      <c r="C168" s="121" t="s">
        <v>1507</v>
      </c>
      <c r="D168" s="1">
        <v>175.5</v>
      </c>
      <c r="E168" s="121" t="s">
        <v>1508</v>
      </c>
      <c r="F168" s="121" t="s">
        <v>1509</v>
      </c>
      <c r="G168" s="121" t="s">
        <v>1510</v>
      </c>
      <c r="H168" s="121" t="s">
        <v>1511</v>
      </c>
      <c r="I168" s="121" t="s">
        <v>1512</v>
      </c>
      <c r="J168" s="121" t="s">
        <v>1513</v>
      </c>
      <c r="K168" s="121" t="s">
        <v>1514</v>
      </c>
      <c r="M168" s="122">
        <v>45530</v>
      </c>
      <c r="N168" s="1">
        <f t="shared" si="44"/>
        <v>3.7345937171613507E-3</v>
      </c>
      <c r="O168" s="1">
        <f t="shared" si="45"/>
        <v>3.3944223581280127E-3</v>
      </c>
      <c r="P168" s="1">
        <f t="shared" si="46"/>
        <v>-1.3654075452592878E-2</v>
      </c>
      <c r="Q168" s="1">
        <f t="shared" si="47"/>
        <v>-8.9470238572892848E-3</v>
      </c>
      <c r="R168" s="1">
        <f t="shared" si="48"/>
        <v>4.5976262432854617E-3</v>
      </c>
      <c r="S168" s="1">
        <f t="shared" si="49"/>
        <v>-3.8839021341447602E-3</v>
      </c>
      <c r="T168" s="1">
        <f t="shared" si="50"/>
        <v>8.4609639872523573E-4</v>
      </c>
      <c r="U168" s="1">
        <f t="shared" si="51"/>
        <v>1.0519066481732254E-2</v>
      </c>
      <c r="V168" s="1">
        <f t="shared" si="52"/>
        <v>1.4445334630330445E-2</v>
      </c>
      <c r="W168" s="1">
        <f t="shared" si="53"/>
        <v>-1.8939062709292527E-2</v>
      </c>
      <c r="Y168" s="1">
        <f t="shared" si="54"/>
        <v>2.0696345848543194E-3</v>
      </c>
      <c r="Z168" s="1">
        <f t="shared" si="55"/>
        <v>1.7294632258209816E-3</v>
      </c>
      <c r="AA168" s="1">
        <f t="shared" si="56"/>
        <v>-1.5319034584899908E-2</v>
      </c>
      <c r="AB168" s="1">
        <f t="shared" si="57"/>
        <v>-1.0611982989596315E-2</v>
      </c>
      <c r="AC168" s="1">
        <f t="shared" si="58"/>
        <v>2.9326671109784304E-3</v>
      </c>
      <c r="AD168" s="1">
        <f t="shared" si="59"/>
        <v>-5.5488612664517916E-3</v>
      </c>
      <c r="AE168" s="1">
        <f t="shared" si="60"/>
        <v>-8.1886273358179541E-4</v>
      </c>
      <c r="AF168" s="1">
        <f t="shared" si="61"/>
        <v>8.8541073494252231E-3</v>
      </c>
      <c r="AG168" s="1">
        <f t="shared" si="62"/>
        <v>1.2780375498023414E-2</v>
      </c>
      <c r="AH168" s="1">
        <f t="shared" si="63"/>
        <v>-2.0604021841599558E-2</v>
      </c>
      <c r="AW168" s="28"/>
    </row>
    <row r="169" spans="1:49" x14ac:dyDescent="0.3">
      <c r="A169" s="120">
        <v>45531</v>
      </c>
      <c r="B169" s="121" t="s">
        <v>1515</v>
      </c>
      <c r="C169" s="1">
        <v>150.5</v>
      </c>
      <c r="D169" s="121" t="s">
        <v>1516</v>
      </c>
      <c r="E169" s="121" t="s">
        <v>1517</v>
      </c>
      <c r="F169" s="121" t="s">
        <v>1518</v>
      </c>
      <c r="G169" s="121" t="s">
        <v>1519</v>
      </c>
      <c r="H169" s="121" t="s">
        <v>1520</v>
      </c>
      <c r="I169" s="1">
        <v>695.719970703125</v>
      </c>
      <c r="J169" s="121" t="s">
        <v>1521</v>
      </c>
      <c r="K169" s="121" t="s">
        <v>1522</v>
      </c>
      <c r="M169" s="122">
        <v>45531</v>
      </c>
      <c r="N169" s="1">
        <f t="shared" si="44"/>
        <v>-6.7764186968181789E-3</v>
      </c>
      <c r="O169" s="1">
        <f t="shared" si="45"/>
        <v>-2.7893739867720781E-2</v>
      </c>
      <c r="P169" s="1">
        <f t="shared" si="46"/>
        <v>-1.3491668231428625E-2</v>
      </c>
      <c r="Q169" s="1">
        <f t="shared" si="47"/>
        <v>-1.1174551308864614E-2</v>
      </c>
      <c r="R169" s="1">
        <f t="shared" si="48"/>
        <v>5.0287070806789508E-3</v>
      </c>
      <c r="S169" s="1">
        <f t="shared" si="49"/>
        <v>-4.4791350718929252E-3</v>
      </c>
      <c r="T169" s="1">
        <f t="shared" si="50"/>
        <v>-7.859980196748332E-3</v>
      </c>
      <c r="U169" s="1">
        <f t="shared" si="51"/>
        <v>-1.7223227027451177E-2</v>
      </c>
      <c r="V169" s="1">
        <f t="shared" si="52"/>
        <v>-2.1189473080425916E-2</v>
      </c>
      <c r="W169" s="1">
        <f t="shared" si="53"/>
        <v>-1.6676724729897677E-2</v>
      </c>
      <c r="Y169" s="1">
        <f t="shared" si="54"/>
        <v>-8.4413778291252094E-3</v>
      </c>
      <c r="Z169" s="1">
        <f t="shared" si="55"/>
        <v>-2.9558699000027812E-2</v>
      </c>
      <c r="AA169" s="1">
        <f t="shared" si="56"/>
        <v>-1.5156627363735655E-2</v>
      </c>
      <c r="AB169" s="1">
        <f t="shared" si="57"/>
        <v>-1.2839510441171645E-2</v>
      </c>
      <c r="AC169" s="1">
        <f t="shared" si="58"/>
        <v>3.3637479483719195E-3</v>
      </c>
      <c r="AD169" s="1">
        <f t="shared" si="59"/>
        <v>-6.1440942041999565E-3</v>
      </c>
      <c r="AE169" s="1">
        <f t="shared" si="60"/>
        <v>-9.5249393290553624E-3</v>
      </c>
      <c r="AF169" s="1">
        <f t="shared" si="61"/>
        <v>-1.8888186159758208E-2</v>
      </c>
      <c r="AG169" s="1">
        <f t="shared" si="62"/>
        <v>-2.2854432212732947E-2</v>
      </c>
      <c r="AH169" s="1">
        <f t="shared" si="63"/>
        <v>-1.8341683862204708E-2</v>
      </c>
      <c r="AW169" s="28"/>
    </row>
    <row r="170" spans="1:49" x14ac:dyDescent="0.3">
      <c r="A170" s="120">
        <v>45532</v>
      </c>
      <c r="B170" s="121" t="s">
        <v>1523</v>
      </c>
      <c r="C170" s="121" t="s">
        <v>1524</v>
      </c>
      <c r="D170" s="121" t="s">
        <v>1525</v>
      </c>
      <c r="E170" s="121" t="s">
        <v>1526</v>
      </c>
      <c r="F170" s="121" t="s">
        <v>1527</v>
      </c>
      <c r="G170" s="1">
        <v>515.412841796875</v>
      </c>
      <c r="H170" s="121" t="s">
        <v>1528</v>
      </c>
      <c r="I170" s="121" t="s">
        <v>1529</v>
      </c>
      <c r="J170" s="121" t="s">
        <v>1530</v>
      </c>
      <c r="K170" s="1">
        <v>205.75</v>
      </c>
      <c r="M170" s="122">
        <v>45532</v>
      </c>
      <c r="N170" s="1">
        <f t="shared" si="44"/>
        <v>1.4465063772636984E-2</v>
      </c>
      <c r="O170" s="1">
        <f t="shared" si="45"/>
        <v>-5.9619508376136179E-3</v>
      </c>
      <c r="P170" s="1">
        <f t="shared" si="46"/>
        <v>7.6985803798437311E-3</v>
      </c>
      <c r="Q170" s="1">
        <f t="shared" si="47"/>
        <v>-6.5922424025737798E-3</v>
      </c>
      <c r="R170" s="1">
        <f t="shared" si="48"/>
        <v>4.1488230705137973E-3</v>
      </c>
      <c r="S170" s="1">
        <f t="shared" si="49"/>
        <v>2.7824281515393123E-3</v>
      </c>
      <c r="T170" s="1">
        <f t="shared" si="50"/>
        <v>6.1186408687589336E-3</v>
      </c>
      <c r="U170" s="1">
        <f t="shared" si="51"/>
        <v>1.2555317170872732E-2</v>
      </c>
      <c r="V170" s="1">
        <f t="shared" si="52"/>
        <v>-6.5977904875377621E-2</v>
      </c>
      <c r="W170" s="1">
        <f t="shared" si="53"/>
        <v>2.5726237078748286E-3</v>
      </c>
      <c r="Y170" s="1">
        <f t="shared" si="54"/>
        <v>1.2800104640329954E-2</v>
      </c>
      <c r="Z170" s="1">
        <f t="shared" si="55"/>
        <v>-7.6269099699206493E-3</v>
      </c>
      <c r="AA170" s="1">
        <f t="shared" si="56"/>
        <v>6.0336212475366998E-3</v>
      </c>
      <c r="AB170" s="1">
        <f t="shared" si="57"/>
        <v>-8.2572015348808103E-3</v>
      </c>
      <c r="AC170" s="1">
        <f t="shared" si="58"/>
        <v>2.483863938206766E-3</v>
      </c>
      <c r="AD170" s="1">
        <f t="shared" si="59"/>
        <v>1.1174690192322812E-3</v>
      </c>
      <c r="AE170" s="1">
        <f t="shared" si="60"/>
        <v>4.4536817364519022E-3</v>
      </c>
      <c r="AF170" s="1">
        <f t="shared" si="61"/>
        <v>1.0890358038565702E-2</v>
      </c>
      <c r="AG170" s="1">
        <f t="shared" si="62"/>
        <v>-6.7642864007684655E-2</v>
      </c>
      <c r="AH170" s="1">
        <f t="shared" si="63"/>
        <v>9.076645755677975E-4</v>
      </c>
      <c r="AW170" s="28"/>
    </row>
    <row r="171" spans="1:49" x14ac:dyDescent="0.3">
      <c r="A171" s="120">
        <v>45533</v>
      </c>
      <c r="B171" s="121" t="s">
        <v>1531</v>
      </c>
      <c r="C171" s="121" t="s">
        <v>1532</v>
      </c>
      <c r="D171" s="121" t="s">
        <v>1533</v>
      </c>
      <c r="E171" s="121" t="s">
        <v>1534</v>
      </c>
      <c r="F171" s="121" t="s">
        <v>1535</v>
      </c>
      <c r="G171" s="121" t="s">
        <v>1536</v>
      </c>
      <c r="H171" s="121" t="s">
        <v>1537</v>
      </c>
      <c r="I171" s="1">
        <v>692.47998046875</v>
      </c>
      <c r="J171" s="121" t="s">
        <v>1538</v>
      </c>
      <c r="K171" s="121" t="s">
        <v>1539</v>
      </c>
      <c r="M171" s="122">
        <v>45533</v>
      </c>
      <c r="N171" s="1">
        <f t="shared" si="44"/>
        <v>-3.4438619759373608E-3</v>
      </c>
      <c r="O171" s="1">
        <f t="shared" si="45"/>
        <v>2.0881507127043012E-2</v>
      </c>
      <c r="P171" s="1">
        <f t="shared" si="46"/>
        <v>3.6396721617950996E-2</v>
      </c>
      <c r="Q171" s="1">
        <f t="shared" si="47"/>
        <v>9.8414410598229047E-3</v>
      </c>
      <c r="R171" s="1">
        <f t="shared" si="48"/>
        <v>1.1588265147857758E-2</v>
      </c>
      <c r="S171" s="1">
        <f t="shared" si="49"/>
        <v>5.9450568907134177E-3</v>
      </c>
      <c r="T171" s="1">
        <f t="shared" si="50"/>
        <v>9.6837786026991515E-3</v>
      </c>
      <c r="U171" s="1">
        <f t="shared" si="51"/>
        <v>1.2727685782359497E-2</v>
      </c>
      <c r="V171" s="1">
        <f t="shared" si="52"/>
        <v>1.5023935968958773E-2</v>
      </c>
      <c r="W171" s="1">
        <f t="shared" si="53"/>
        <v>3.7255441236673729E-2</v>
      </c>
      <c r="Y171" s="1">
        <f t="shared" si="54"/>
        <v>-5.1088211082443921E-3</v>
      </c>
      <c r="Z171" s="1">
        <f t="shared" si="55"/>
        <v>1.9216547994735982E-2</v>
      </c>
      <c r="AA171" s="1">
        <f t="shared" si="56"/>
        <v>3.4731762485643962E-2</v>
      </c>
      <c r="AB171" s="1">
        <f t="shared" si="57"/>
        <v>8.1764819275158742E-3</v>
      </c>
      <c r="AC171" s="1">
        <f t="shared" si="58"/>
        <v>9.9233060155507272E-3</v>
      </c>
      <c r="AD171" s="1">
        <f t="shared" si="59"/>
        <v>4.2800977584063864E-3</v>
      </c>
      <c r="AE171" s="1">
        <f t="shared" si="60"/>
        <v>8.018819470392121E-3</v>
      </c>
      <c r="AF171" s="1">
        <f t="shared" si="61"/>
        <v>1.1062726650052467E-2</v>
      </c>
      <c r="AG171" s="1">
        <f t="shared" si="62"/>
        <v>1.3358976836651743E-2</v>
      </c>
      <c r="AH171" s="1">
        <f t="shared" si="63"/>
        <v>3.5590482104366696E-2</v>
      </c>
      <c r="AW171" s="28"/>
    </row>
    <row r="172" spans="1:49" x14ac:dyDescent="0.3">
      <c r="A172" s="120">
        <v>45534</v>
      </c>
      <c r="B172" s="121" t="s">
        <v>1540</v>
      </c>
      <c r="C172" s="121" t="s">
        <v>1457</v>
      </c>
      <c r="D172" s="1">
        <v>178.5</v>
      </c>
      <c r="E172" s="121" t="s">
        <v>1541</v>
      </c>
      <c r="F172" s="121" t="s">
        <v>1542</v>
      </c>
      <c r="G172" s="121" t="s">
        <v>1543</v>
      </c>
      <c r="H172" s="1">
        <v>415.4736328125</v>
      </c>
      <c r="I172" s="121" t="s">
        <v>1544</v>
      </c>
      <c r="J172" s="121" t="s">
        <v>1545</v>
      </c>
      <c r="K172" s="121" t="s">
        <v>1546</v>
      </c>
      <c r="M172" s="122">
        <v>45534</v>
      </c>
      <c r="N172" s="1">
        <f t="shared" si="44"/>
        <v>-2.7582109878242066E-2</v>
      </c>
      <c r="O172" s="1">
        <f t="shared" si="45"/>
        <v>-8.1446009089432669E-2</v>
      </c>
      <c r="P172" s="1">
        <f t="shared" si="46"/>
        <v>-1.2685159527315687E-2</v>
      </c>
      <c r="Q172" s="1">
        <f t="shared" si="47"/>
        <v>-3.7542588073124349E-2</v>
      </c>
      <c r="R172" s="1">
        <f t="shared" si="48"/>
        <v>-2.0220883218939029E-2</v>
      </c>
      <c r="S172" s="1">
        <f t="shared" si="49"/>
        <v>-1.8489080616876173E-2</v>
      </c>
      <c r="T172" s="1">
        <f t="shared" si="50"/>
        <v>-1.8631549005763016E-2</v>
      </c>
      <c r="U172" s="1">
        <f t="shared" si="51"/>
        <v>-3.7820350901036283E-2</v>
      </c>
      <c r="V172" s="1">
        <f t="shared" si="52"/>
        <v>-0.10009672235155823</v>
      </c>
      <c r="W172" s="1">
        <f t="shared" si="53"/>
        <v>-1.6529275820300466E-2</v>
      </c>
      <c r="Y172" s="1">
        <f t="shared" si="54"/>
        <v>-2.9247069010549097E-2</v>
      </c>
      <c r="Z172" s="1">
        <f t="shared" si="55"/>
        <v>-8.3110968221739703E-2</v>
      </c>
      <c r="AA172" s="1">
        <f t="shared" si="56"/>
        <v>-1.4350118659622718E-2</v>
      </c>
      <c r="AB172" s="1">
        <f t="shared" si="57"/>
        <v>-3.9207547205431383E-2</v>
      </c>
      <c r="AC172" s="1">
        <f t="shared" si="58"/>
        <v>-2.1885842351246059E-2</v>
      </c>
      <c r="AD172" s="1">
        <f t="shared" si="59"/>
        <v>-2.0154039749183204E-2</v>
      </c>
      <c r="AE172" s="1">
        <f t="shared" si="60"/>
        <v>-2.0296508138070046E-2</v>
      </c>
      <c r="AF172" s="1">
        <f t="shared" si="61"/>
        <v>-3.9485310033343317E-2</v>
      </c>
      <c r="AG172" s="1">
        <f t="shared" si="62"/>
        <v>-0.10176168148386526</v>
      </c>
      <c r="AH172" s="1">
        <f t="shared" si="63"/>
        <v>-1.8194234952607496E-2</v>
      </c>
      <c r="AW172" s="28"/>
    </row>
    <row r="173" spans="1:49" x14ac:dyDescent="0.3">
      <c r="A173" s="120">
        <v>45538</v>
      </c>
      <c r="B173" s="121" t="s">
        <v>1547</v>
      </c>
      <c r="C173" s="121" t="s">
        <v>1548</v>
      </c>
      <c r="D173" s="1">
        <v>176.25</v>
      </c>
      <c r="E173" s="121" t="s">
        <v>1549</v>
      </c>
      <c r="F173" s="121" t="s">
        <v>1550</v>
      </c>
      <c r="G173" s="121" t="s">
        <v>1551</v>
      </c>
      <c r="H173" s="121" t="s">
        <v>1552</v>
      </c>
      <c r="I173" s="121" t="s">
        <v>1553</v>
      </c>
      <c r="J173" s="1">
        <v>107.973388671875</v>
      </c>
      <c r="K173" s="121" t="s">
        <v>1554</v>
      </c>
      <c r="M173" s="122">
        <v>45538</v>
      </c>
      <c r="N173" s="1">
        <f t="shared" si="44"/>
        <v>-8.6561251240995368E-3</v>
      </c>
      <c r="O173" s="1">
        <f t="shared" si="45"/>
        <v>2.8294553089171209E-2</v>
      </c>
      <c r="P173" s="1">
        <f t="shared" si="46"/>
        <v>-1.6706139175182814E-2</v>
      </c>
      <c r="Q173" s="1">
        <f t="shared" si="47"/>
        <v>-5.7997905735481126E-3</v>
      </c>
      <c r="R173" s="1">
        <f t="shared" si="48"/>
        <v>-4.412802089806064E-3</v>
      </c>
      <c r="S173" s="1">
        <f t="shared" si="49"/>
        <v>1.9131479462924214E-3</v>
      </c>
      <c r="T173" s="1">
        <f t="shared" si="50"/>
        <v>-1.3197425153077451E-3</v>
      </c>
      <c r="U173" s="1">
        <f t="shared" si="51"/>
        <v>6.4354249429386702E-3</v>
      </c>
      <c r="V173" s="1">
        <f t="shared" si="52"/>
        <v>-1.6712955787830393E-2</v>
      </c>
      <c r="W173" s="1">
        <f t="shared" si="53"/>
        <v>4.0981513663142552E-2</v>
      </c>
      <c r="Y173" s="1">
        <f t="shared" si="54"/>
        <v>-1.0321084256406567E-2</v>
      </c>
      <c r="Z173" s="1">
        <f t="shared" si="55"/>
        <v>2.6629593956864178E-2</v>
      </c>
      <c r="AA173" s="1">
        <f t="shared" si="56"/>
        <v>-1.8371098307489845E-2</v>
      </c>
      <c r="AB173" s="1">
        <f t="shared" si="57"/>
        <v>-7.464749705855144E-3</v>
      </c>
      <c r="AC173" s="1">
        <f t="shared" si="58"/>
        <v>-6.0777612221130954E-3</v>
      </c>
      <c r="AD173" s="1">
        <f t="shared" si="59"/>
        <v>2.4818881398539026E-4</v>
      </c>
      <c r="AE173" s="1">
        <f t="shared" si="60"/>
        <v>-2.9847016476147762E-3</v>
      </c>
      <c r="AF173" s="1">
        <f t="shared" si="61"/>
        <v>4.7704658106316388E-3</v>
      </c>
      <c r="AG173" s="1">
        <f t="shared" si="62"/>
        <v>-1.8377914920137423E-2</v>
      </c>
      <c r="AH173" s="1">
        <f t="shared" si="63"/>
        <v>3.9316554530835518E-2</v>
      </c>
      <c r="AW173" s="28"/>
    </row>
    <row r="174" spans="1:49" x14ac:dyDescent="0.3">
      <c r="A174" s="120">
        <v>45539</v>
      </c>
      <c r="B174" s="121" t="s">
        <v>1555</v>
      </c>
      <c r="C174" s="121" t="s">
        <v>1556</v>
      </c>
      <c r="D174" s="121" t="s">
        <v>1557</v>
      </c>
      <c r="E174" s="1">
        <v>155.88427734375</v>
      </c>
      <c r="F174" s="121" t="s">
        <v>1558</v>
      </c>
      <c r="G174" s="121" t="s">
        <v>1559</v>
      </c>
      <c r="H174" s="121" t="s">
        <v>1560</v>
      </c>
      <c r="I174" s="121" t="s">
        <v>1561</v>
      </c>
      <c r="J174" s="121" t="s">
        <v>1562</v>
      </c>
      <c r="K174" s="121" t="s">
        <v>1563</v>
      </c>
      <c r="M174" s="122">
        <v>45539</v>
      </c>
      <c r="N174" s="1">
        <f t="shared" si="44"/>
        <v>6.903900256663347E-3</v>
      </c>
      <c r="O174" s="1">
        <f t="shared" si="45"/>
        <v>-1.0203025889963423E-2</v>
      </c>
      <c r="P174" s="1">
        <f t="shared" si="46"/>
        <v>2.5968075788919225E-2</v>
      </c>
      <c r="Q174" s="1">
        <f t="shared" si="47"/>
        <v>5.0369056830012245E-3</v>
      </c>
      <c r="R174" s="1">
        <f t="shared" si="48"/>
        <v>-7.7810949691396753E-3</v>
      </c>
      <c r="S174" s="1">
        <f t="shared" si="49"/>
        <v>8.0032105095841841E-3</v>
      </c>
      <c r="T174" s="1">
        <f t="shared" si="50"/>
        <v>-1.2479580966929488E-3</v>
      </c>
      <c r="U174" s="1">
        <f t="shared" si="51"/>
        <v>5.7801121487607177E-3</v>
      </c>
      <c r="V174" s="1">
        <f t="shared" si="52"/>
        <v>9.3712825785907134E-3</v>
      </c>
      <c r="W174" s="1">
        <f t="shared" si="53"/>
        <v>4.7876016035804089E-2</v>
      </c>
      <c r="Y174" s="1">
        <f t="shared" si="54"/>
        <v>5.2389411243563156E-3</v>
      </c>
      <c r="Z174" s="1">
        <f t="shared" si="55"/>
        <v>-1.1867985022270454E-2</v>
      </c>
      <c r="AA174" s="1">
        <f t="shared" si="56"/>
        <v>2.4303116656612195E-2</v>
      </c>
      <c r="AB174" s="1">
        <f t="shared" si="57"/>
        <v>3.3719465506941932E-3</v>
      </c>
      <c r="AC174" s="1">
        <f t="shared" si="58"/>
        <v>-9.4460541014467058E-3</v>
      </c>
      <c r="AD174" s="1">
        <f t="shared" si="59"/>
        <v>6.3382513772771527E-3</v>
      </c>
      <c r="AE174" s="1">
        <f t="shared" si="60"/>
        <v>-2.9129172289999797E-3</v>
      </c>
      <c r="AF174" s="1">
        <f t="shared" si="61"/>
        <v>4.1151530164536864E-3</v>
      </c>
      <c r="AG174" s="1">
        <f t="shared" si="62"/>
        <v>7.7063234462836821E-3</v>
      </c>
      <c r="AH174" s="1">
        <f t="shared" si="63"/>
        <v>4.6211056903497055E-2</v>
      </c>
      <c r="AW174" s="28"/>
    </row>
    <row r="175" spans="1:49" x14ac:dyDescent="0.3">
      <c r="A175" s="120">
        <v>45540</v>
      </c>
      <c r="B175" s="121" t="s">
        <v>1564</v>
      </c>
      <c r="C175" s="121" t="s">
        <v>1565</v>
      </c>
      <c r="D175" s="121" t="s">
        <v>1566</v>
      </c>
      <c r="E175" s="121" t="s">
        <v>1567</v>
      </c>
      <c r="F175" s="121" t="s">
        <v>1568</v>
      </c>
      <c r="G175" s="121" t="s">
        <v>1569</v>
      </c>
      <c r="H175" s="121" t="s">
        <v>1570</v>
      </c>
      <c r="I175" s="121" t="s">
        <v>1571</v>
      </c>
      <c r="J175" s="121" t="s">
        <v>1572</v>
      </c>
      <c r="K175" s="121" t="s">
        <v>1573</v>
      </c>
      <c r="M175" s="122">
        <v>45540</v>
      </c>
      <c r="N175" s="1">
        <f t="shared" si="44"/>
        <v>-7.0397647413991456E-3</v>
      </c>
      <c r="O175" s="1">
        <f t="shared" si="45"/>
        <v>-3.718603822895588E-2</v>
      </c>
      <c r="P175" s="1">
        <f t="shared" si="46"/>
        <v>-3.722372046282138E-2</v>
      </c>
      <c r="Q175" s="1">
        <f t="shared" si="47"/>
        <v>-4.1023522107836864E-2</v>
      </c>
      <c r="R175" s="1">
        <f t="shared" si="48"/>
        <v>-2.4042625769305163E-2</v>
      </c>
      <c r="S175" s="1">
        <f t="shared" si="49"/>
        <v>-3.2624157171472649E-2</v>
      </c>
      <c r="T175" s="1">
        <f t="shared" si="50"/>
        <v>-1.6517042734990828E-2</v>
      </c>
      <c r="U175" s="1">
        <f t="shared" si="51"/>
        <v>-2.645790566030453E-2</v>
      </c>
      <c r="V175" s="1">
        <f t="shared" si="52"/>
        <v>-4.1712394773931377E-2</v>
      </c>
      <c r="W175" s="1">
        <f t="shared" si="53"/>
        <v>-8.8240485445826661E-2</v>
      </c>
      <c r="Y175" s="1">
        <f t="shared" si="54"/>
        <v>-8.7047238737061761E-3</v>
      </c>
      <c r="Z175" s="1">
        <f t="shared" si="55"/>
        <v>-3.8850997361262914E-2</v>
      </c>
      <c r="AA175" s="1">
        <f t="shared" si="56"/>
        <v>-3.8888679595128414E-2</v>
      </c>
      <c r="AB175" s="1">
        <f t="shared" si="57"/>
        <v>-4.2688481240143898E-2</v>
      </c>
      <c r="AC175" s="1">
        <f t="shared" si="58"/>
        <v>-2.5707584901612193E-2</v>
      </c>
      <c r="AD175" s="1">
        <f t="shared" si="59"/>
        <v>-3.4289116303779683E-2</v>
      </c>
      <c r="AE175" s="1">
        <f t="shared" si="60"/>
        <v>-1.8182001867297858E-2</v>
      </c>
      <c r="AF175" s="1">
        <f t="shared" si="61"/>
        <v>-2.8122864792611561E-2</v>
      </c>
      <c r="AG175" s="1">
        <f t="shared" si="62"/>
        <v>-4.3377353906238411E-2</v>
      </c>
      <c r="AH175" s="1">
        <f t="shared" si="63"/>
        <v>-8.9905444578133695E-2</v>
      </c>
      <c r="AW175" s="28"/>
    </row>
    <row r="176" spans="1:49" x14ac:dyDescent="0.3">
      <c r="A176" s="120">
        <v>45541</v>
      </c>
      <c r="B176" s="121" t="s">
        <v>1574</v>
      </c>
      <c r="C176" s="121" t="s">
        <v>1575</v>
      </c>
      <c r="D176" s="121" t="s">
        <v>1576</v>
      </c>
      <c r="E176" s="1">
        <v>150.374267578125</v>
      </c>
      <c r="F176" s="121" t="s">
        <v>1577</v>
      </c>
      <c r="G176" s="121" t="s">
        <v>1578</v>
      </c>
      <c r="H176" s="121" t="s">
        <v>1579</v>
      </c>
      <c r="I176" s="1">
        <v>665.77001953125</v>
      </c>
      <c r="J176" s="121" t="s">
        <v>1580</v>
      </c>
      <c r="K176" s="121" t="s">
        <v>1581</v>
      </c>
      <c r="M176" s="122">
        <v>45541</v>
      </c>
      <c r="N176" s="1">
        <f t="shared" si="44"/>
        <v>4.0753808926494774E-4</v>
      </c>
      <c r="O176" s="1">
        <f t="shared" si="45"/>
        <v>2.7891626697611641E-2</v>
      </c>
      <c r="P176" s="1">
        <f t="shared" si="46"/>
        <v>2.3127387297092405E-2</v>
      </c>
      <c r="Q176" s="1">
        <f t="shared" si="47"/>
        <v>-1.3425587304701649E-2</v>
      </c>
      <c r="R176" s="1">
        <f t="shared" si="48"/>
        <v>2.0267630299680206E-2</v>
      </c>
      <c r="S176" s="1">
        <f t="shared" si="49"/>
        <v>8.994578075883811E-3</v>
      </c>
      <c r="T176" s="1">
        <f t="shared" si="50"/>
        <v>9.9576381958522576E-3</v>
      </c>
      <c r="U176" s="1">
        <f t="shared" si="51"/>
        <v>1.4390399406284411E-2</v>
      </c>
      <c r="V176" s="1">
        <f t="shared" si="52"/>
        <v>3.4786149703055498E-2</v>
      </c>
      <c r="W176" s="1">
        <f t="shared" si="53"/>
        <v>2.5949973905262887E-2</v>
      </c>
      <c r="Y176" s="1">
        <f t="shared" si="54"/>
        <v>-1.2574210430420835E-3</v>
      </c>
      <c r="Z176" s="1">
        <f t="shared" si="55"/>
        <v>2.6226667565304611E-2</v>
      </c>
      <c r="AA176" s="1">
        <f t="shared" si="56"/>
        <v>2.1462428164785375E-2</v>
      </c>
      <c r="AB176" s="1">
        <f t="shared" si="57"/>
        <v>-1.5090546437008679E-2</v>
      </c>
      <c r="AC176" s="1">
        <f t="shared" si="58"/>
        <v>1.8602671167373176E-2</v>
      </c>
      <c r="AD176" s="1">
        <f t="shared" si="59"/>
        <v>7.3296189435767796E-3</v>
      </c>
      <c r="AE176" s="1">
        <f t="shared" si="60"/>
        <v>8.2926790635452271E-3</v>
      </c>
      <c r="AF176" s="1">
        <f t="shared" si="61"/>
        <v>1.272544027397738E-2</v>
      </c>
      <c r="AG176" s="1">
        <f t="shared" si="62"/>
        <v>3.3121190570748464E-2</v>
      </c>
      <c r="AH176" s="1">
        <f t="shared" si="63"/>
        <v>2.4285014772955856E-2</v>
      </c>
      <c r="AW176" s="28"/>
    </row>
    <row r="177" spans="1:49" x14ac:dyDescent="0.3">
      <c r="A177" s="120">
        <v>45544</v>
      </c>
      <c r="B177" s="121" t="s">
        <v>1582</v>
      </c>
      <c r="C177" s="121" t="s">
        <v>1583</v>
      </c>
      <c r="D177" s="121" t="s">
        <v>1584</v>
      </c>
      <c r="E177" s="1">
        <v>148.368896484375</v>
      </c>
      <c r="F177" s="121" t="s">
        <v>1585</v>
      </c>
      <c r="G177" s="121" t="s">
        <v>1586</v>
      </c>
      <c r="H177" s="121" t="s">
        <v>1587</v>
      </c>
      <c r="I177" s="121" t="s">
        <v>1588</v>
      </c>
      <c r="J177" s="121" t="s">
        <v>1589</v>
      </c>
      <c r="K177" s="121" t="s">
        <v>1590</v>
      </c>
      <c r="M177" s="122">
        <v>45544</v>
      </c>
      <c r="N177" s="1">
        <f t="shared" si="44"/>
        <v>-3.6280500273048869E-3</v>
      </c>
      <c r="O177" s="1">
        <f t="shared" si="45"/>
        <v>3.3385089899330797E-2</v>
      </c>
      <c r="P177" s="1">
        <f t="shared" si="46"/>
        <v>2.3384692528403483E-2</v>
      </c>
      <c r="Q177" s="1">
        <f t="shared" si="47"/>
        <v>-3.3635508057871236E-4</v>
      </c>
      <c r="R177" s="1">
        <f t="shared" si="48"/>
        <v>-5.3283410523682156E-2</v>
      </c>
      <c r="S177" s="1">
        <f t="shared" si="49"/>
        <v>0</v>
      </c>
      <c r="T177" s="1">
        <f t="shared" si="50"/>
        <v>2.0685711779226228E-2</v>
      </c>
      <c r="U177" s="1">
        <f t="shared" si="51"/>
        <v>-2.6685478420970742E-3</v>
      </c>
      <c r="V177" s="1">
        <f t="shared" si="52"/>
        <v>1.5193417892745132E-2</v>
      </c>
      <c r="W177" s="1">
        <f t="shared" si="53"/>
        <v>4.4759273955986702E-2</v>
      </c>
      <c r="Y177" s="1">
        <f t="shared" si="54"/>
        <v>-5.2930091596119179E-3</v>
      </c>
      <c r="Z177" s="1">
        <f t="shared" si="55"/>
        <v>3.1720130767023763E-2</v>
      </c>
      <c r="AA177" s="1">
        <f t="shared" si="56"/>
        <v>2.1719733396096452E-2</v>
      </c>
      <c r="AB177" s="1">
        <f t="shared" si="57"/>
        <v>-2.0013142128857435E-3</v>
      </c>
      <c r="AC177" s="1">
        <f t="shared" si="58"/>
        <v>-5.494836965598919E-2</v>
      </c>
      <c r="AD177" s="1">
        <f t="shared" si="59"/>
        <v>-1.6649591323070311E-3</v>
      </c>
      <c r="AE177" s="1">
        <f t="shared" si="60"/>
        <v>1.9020752646919197E-2</v>
      </c>
      <c r="AF177" s="1">
        <f t="shared" si="61"/>
        <v>-4.3335069744041051E-3</v>
      </c>
      <c r="AG177" s="1">
        <f t="shared" si="62"/>
        <v>1.3528458760438102E-2</v>
      </c>
      <c r="AH177" s="1">
        <f t="shared" si="63"/>
        <v>4.3094314823679668E-2</v>
      </c>
      <c r="AW177" s="28"/>
    </row>
    <row r="178" spans="1:49" x14ac:dyDescent="0.3">
      <c r="A178" s="120">
        <v>45545</v>
      </c>
      <c r="B178" s="121" t="s">
        <v>1591</v>
      </c>
      <c r="C178" s="121" t="s">
        <v>1592</v>
      </c>
      <c r="D178" s="121" t="s">
        <v>1593</v>
      </c>
      <c r="E178" s="121" t="s">
        <v>1594</v>
      </c>
      <c r="F178" s="121" t="s">
        <v>1595</v>
      </c>
      <c r="G178" s="121" t="s">
        <v>1586</v>
      </c>
      <c r="H178" s="121" t="s">
        <v>1596</v>
      </c>
      <c r="I178" s="121" t="s">
        <v>1597</v>
      </c>
      <c r="J178" s="121" t="s">
        <v>1598</v>
      </c>
      <c r="K178" s="121" t="s">
        <v>1599</v>
      </c>
      <c r="M178" s="122">
        <v>45545</v>
      </c>
      <c r="N178" s="1">
        <f t="shared" si="44"/>
        <v>1.1518605628159805E-2</v>
      </c>
      <c r="O178" s="1">
        <f t="shared" si="45"/>
        <v>4.7976431920571758E-2</v>
      </c>
      <c r="P178" s="1">
        <f t="shared" si="46"/>
        <v>2.7304144175285431E-2</v>
      </c>
      <c r="Q178" s="1">
        <f t="shared" si="47"/>
        <v>1.6677142148220411E-2</v>
      </c>
      <c r="R178" s="1">
        <f t="shared" si="48"/>
        <v>8.0912802154345272E-3</v>
      </c>
      <c r="S178" s="1">
        <f t="shared" si="49"/>
        <v>1.3849952810987396E-2</v>
      </c>
      <c r="T178" s="1">
        <f t="shared" si="50"/>
        <v>2.1117790590952645E-2</v>
      </c>
      <c r="U178" s="1">
        <f t="shared" si="51"/>
        <v>1.1586040183903275E-2</v>
      </c>
      <c r="V178" s="1">
        <f t="shared" si="52"/>
        <v>7.8347762222598108E-2</v>
      </c>
      <c r="W178" s="1">
        <f t="shared" si="53"/>
        <v>8.6287425126246823E-3</v>
      </c>
      <c r="Y178" s="1">
        <f t="shared" si="54"/>
        <v>9.8536464958527744E-3</v>
      </c>
      <c r="Z178" s="1">
        <f t="shared" si="55"/>
        <v>4.6311472788264724E-2</v>
      </c>
      <c r="AA178" s="1">
        <f t="shared" si="56"/>
        <v>2.56391850429784E-2</v>
      </c>
      <c r="AB178" s="1">
        <f t="shared" si="57"/>
        <v>1.501218301591338E-2</v>
      </c>
      <c r="AC178" s="1">
        <f t="shared" si="58"/>
        <v>6.4263210831274958E-3</v>
      </c>
      <c r="AD178" s="1">
        <f t="shared" si="59"/>
        <v>1.2184993678680365E-2</v>
      </c>
      <c r="AE178" s="1">
        <f t="shared" si="60"/>
        <v>1.9452831458645615E-2</v>
      </c>
      <c r="AF178" s="1">
        <f t="shared" si="61"/>
        <v>9.9210810515962446E-3</v>
      </c>
      <c r="AG178" s="1">
        <f t="shared" si="62"/>
        <v>7.6682803090291074E-2</v>
      </c>
      <c r="AH178" s="1">
        <f t="shared" si="63"/>
        <v>6.9637833803176509E-3</v>
      </c>
      <c r="AW178" s="28"/>
    </row>
    <row r="179" spans="1:49" x14ac:dyDescent="0.3">
      <c r="A179" s="120">
        <v>45546</v>
      </c>
      <c r="B179" s="121" t="s">
        <v>1600</v>
      </c>
      <c r="C179" s="121" t="s">
        <v>1601</v>
      </c>
      <c r="D179" s="121" t="s">
        <v>1602</v>
      </c>
      <c r="E179" s="121" t="s">
        <v>1603</v>
      </c>
      <c r="F179" s="121" t="s">
        <v>1604</v>
      </c>
      <c r="G179" s="121" t="s">
        <v>1605</v>
      </c>
      <c r="H179" s="121" t="s">
        <v>1606</v>
      </c>
      <c r="I179" s="1">
        <v>681.469970703125</v>
      </c>
      <c r="J179" s="121" t="s">
        <v>1607</v>
      </c>
      <c r="K179" s="121" t="s">
        <v>1608</v>
      </c>
      <c r="M179" s="122">
        <v>45546</v>
      </c>
      <c r="N179" s="1">
        <f t="shared" si="44"/>
        <v>4.9389591871538171E-4</v>
      </c>
      <c r="O179" s="1">
        <f t="shared" si="45"/>
        <v>6.0539961194545746E-3</v>
      </c>
      <c r="P179" s="1">
        <f t="shared" si="46"/>
        <v>1.3350735010512234E-2</v>
      </c>
      <c r="Q179" s="1">
        <f t="shared" si="47"/>
        <v>2.3084192134871007E-2</v>
      </c>
      <c r="R179" s="1">
        <f t="shared" si="48"/>
        <v>-3.044704054666004E-3</v>
      </c>
      <c r="S179" s="1">
        <f t="shared" si="49"/>
        <v>2.6547894304259669E-2</v>
      </c>
      <c r="T179" s="1">
        <f t="shared" si="50"/>
        <v>9.3172818878088405E-3</v>
      </c>
      <c r="U179" s="1">
        <f t="shared" si="51"/>
        <v>7.7909246155104571E-3</v>
      </c>
      <c r="V179" s="1">
        <f t="shared" si="52"/>
        <v>1.8980335226186622E-2</v>
      </c>
      <c r="W179" s="1">
        <f t="shared" si="53"/>
        <v>7.3372066368041335E-3</v>
      </c>
      <c r="Y179" s="1">
        <f t="shared" si="54"/>
        <v>-1.1710632135916495E-3</v>
      </c>
      <c r="Z179" s="1">
        <f t="shared" si="55"/>
        <v>4.3890369871475432E-3</v>
      </c>
      <c r="AA179" s="1">
        <f t="shared" si="56"/>
        <v>1.1685775878205204E-2</v>
      </c>
      <c r="AB179" s="1">
        <f t="shared" si="57"/>
        <v>2.1419233002563976E-2</v>
      </c>
      <c r="AC179" s="1">
        <f t="shared" si="58"/>
        <v>-4.7096631869730354E-3</v>
      </c>
      <c r="AD179" s="1">
        <f t="shared" si="59"/>
        <v>2.4882935171952638E-2</v>
      </c>
      <c r="AE179" s="1">
        <f t="shared" si="60"/>
        <v>7.6523227555018091E-3</v>
      </c>
      <c r="AF179" s="1">
        <f t="shared" si="61"/>
        <v>6.1259654832034258E-3</v>
      </c>
      <c r="AG179" s="1">
        <f t="shared" si="62"/>
        <v>1.7315376093879592E-2</v>
      </c>
      <c r="AH179" s="1">
        <f t="shared" si="63"/>
        <v>5.6722475044971021E-3</v>
      </c>
      <c r="AW179" s="28"/>
    </row>
    <row r="180" spans="1:49" x14ac:dyDescent="0.3">
      <c r="A180" s="120">
        <v>45547</v>
      </c>
      <c r="B180" s="121" t="s">
        <v>1547</v>
      </c>
      <c r="C180" s="121" t="s">
        <v>1609</v>
      </c>
      <c r="D180" s="1">
        <v>187</v>
      </c>
      <c r="E180" s="121" t="s">
        <v>1610</v>
      </c>
      <c r="F180" s="121" t="s">
        <v>1611</v>
      </c>
      <c r="G180" s="121" t="s">
        <v>1612</v>
      </c>
      <c r="H180" s="121" t="s">
        <v>1613</v>
      </c>
      <c r="I180" s="121" t="s">
        <v>1614</v>
      </c>
      <c r="J180" s="121" t="s">
        <v>1615</v>
      </c>
      <c r="K180" s="121" t="s">
        <v>1616</v>
      </c>
      <c r="M180" s="122">
        <v>45547</v>
      </c>
      <c r="N180" s="1">
        <f t="shared" si="44"/>
        <v>-1.2128256842615284E-3</v>
      </c>
      <c r="O180" s="1">
        <f t="shared" si="45"/>
        <v>1.016237646978858E-2</v>
      </c>
      <c r="P180" s="1">
        <f t="shared" si="46"/>
        <v>-2.7309690556901671E-3</v>
      </c>
      <c r="Q180" s="1">
        <f t="shared" si="47"/>
        <v>1.7748312565233518E-2</v>
      </c>
      <c r="R180" s="1">
        <f t="shared" si="48"/>
        <v>-1.1097094767732211E-2</v>
      </c>
      <c r="S180" s="1">
        <f t="shared" si="49"/>
        <v>-1.8661782470972754E-3</v>
      </c>
      <c r="T180" s="1">
        <f t="shared" si="50"/>
        <v>8.3722632362834108E-3</v>
      </c>
      <c r="U180" s="1">
        <f t="shared" si="51"/>
        <v>1.4828375517374912E-2</v>
      </c>
      <c r="V180" s="1">
        <f t="shared" si="52"/>
        <v>-3.3585756367593157E-4</v>
      </c>
      <c r="W180" s="1">
        <f t="shared" si="53"/>
        <v>2.0864851607277708E-3</v>
      </c>
      <c r="Y180" s="1">
        <f t="shared" si="54"/>
        <v>-2.8777848165685597E-3</v>
      </c>
      <c r="Z180" s="1">
        <f t="shared" si="55"/>
        <v>8.4974173374815498E-3</v>
      </c>
      <c r="AA180" s="1">
        <f t="shared" si="56"/>
        <v>-4.395928187997198E-3</v>
      </c>
      <c r="AB180" s="1">
        <f t="shared" si="57"/>
        <v>1.6083353432926488E-2</v>
      </c>
      <c r="AC180" s="1">
        <f t="shared" si="58"/>
        <v>-1.2762053900039242E-2</v>
      </c>
      <c r="AD180" s="1">
        <f t="shared" si="59"/>
        <v>-3.5311373794043067E-3</v>
      </c>
      <c r="AE180" s="1">
        <f t="shared" si="60"/>
        <v>6.7073041039763795E-3</v>
      </c>
      <c r="AF180" s="1">
        <f t="shared" si="61"/>
        <v>1.3163416385067881E-2</v>
      </c>
      <c r="AG180" s="1">
        <f t="shared" si="62"/>
        <v>-2.0008166959829625E-3</v>
      </c>
      <c r="AH180" s="1">
        <f t="shared" si="63"/>
        <v>4.215260284207397E-4</v>
      </c>
      <c r="AW180" s="28"/>
    </row>
    <row r="181" spans="1:49" x14ac:dyDescent="0.3">
      <c r="A181" s="120">
        <v>45548</v>
      </c>
      <c r="B181" s="121" t="s">
        <v>1617</v>
      </c>
      <c r="C181" s="121" t="s">
        <v>1618</v>
      </c>
      <c r="D181" s="121" t="s">
        <v>1619</v>
      </c>
      <c r="E181" s="121" t="s">
        <v>1620</v>
      </c>
      <c r="F181" s="121" t="s">
        <v>1621</v>
      </c>
      <c r="G181" s="121" t="s">
        <v>1622</v>
      </c>
      <c r="H181" s="1">
        <v>428.869873046875</v>
      </c>
      <c r="I181" s="121" t="s">
        <v>1623</v>
      </c>
      <c r="J181" s="121" t="s">
        <v>1624</v>
      </c>
      <c r="K181" s="121" t="s">
        <v>1625</v>
      </c>
      <c r="M181" s="122">
        <v>45548</v>
      </c>
      <c r="N181" s="1">
        <f t="shared" si="44"/>
        <v>-2.8168235783515232E-2</v>
      </c>
      <c r="O181" s="1">
        <f t="shared" si="45"/>
        <v>-1.5111913779708686E-3</v>
      </c>
      <c r="P181" s="1">
        <f t="shared" si="46"/>
        <v>-8.6165974577977599E-3</v>
      </c>
      <c r="Q181" s="1">
        <f t="shared" si="47"/>
        <v>3.8032109748816797E-3</v>
      </c>
      <c r="R181" s="1">
        <f t="shared" si="48"/>
        <v>1.717733502687719E-2</v>
      </c>
      <c r="S181" s="1">
        <f t="shared" si="49"/>
        <v>1.732604232174275E-2</v>
      </c>
      <c r="T181" s="1">
        <f t="shared" si="50"/>
        <v>1.7402935134488908E-3</v>
      </c>
      <c r="U181" s="1">
        <f t="shared" si="51"/>
        <v>-8.0369354705505346E-4</v>
      </c>
      <c r="V181" s="1">
        <f t="shared" si="52"/>
        <v>-1.9671646724791689E-2</v>
      </c>
      <c r="W181" s="1">
        <f t="shared" si="53"/>
        <v>-1.5358975945026939E-2</v>
      </c>
      <c r="Y181" s="1">
        <f t="shared" si="54"/>
        <v>-2.9833194915822262E-2</v>
      </c>
      <c r="Z181" s="1">
        <f t="shared" si="55"/>
        <v>-3.1761505102778998E-3</v>
      </c>
      <c r="AA181" s="1">
        <f t="shared" si="56"/>
        <v>-1.028155659010479E-2</v>
      </c>
      <c r="AB181" s="1">
        <f t="shared" si="57"/>
        <v>2.1382518425746488E-3</v>
      </c>
      <c r="AC181" s="1">
        <f t="shared" si="58"/>
        <v>1.5512375894570159E-2</v>
      </c>
      <c r="AD181" s="1">
        <f t="shared" si="59"/>
        <v>1.566108318943572E-2</v>
      </c>
      <c r="AE181" s="1">
        <f t="shared" si="60"/>
        <v>7.5334381141859644E-5</v>
      </c>
      <c r="AF181" s="1">
        <f t="shared" si="61"/>
        <v>-2.4686526793620848E-3</v>
      </c>
      <c r="AG181" s="1">
        <f t="shared" si="62"/>
        <v>-2.133660585709872E-2</v>
      </c>
      <c r="AH181" s="1">
        <f t="shared" si="63"/>
        <v>-1.702393507733397E-2</v>
      </c>
      <c r="AW181" s="28"/>
    </row>
    <row r="182" spans="1:49" x14ac:dyDescent="0.3">
      <c r="A182" s="120">
        <v>45551</v>
      </c>
      <c r="B182" s="121" t="s">
        <v>1626</v>
      </c>
      <c r="C182" s="121" t="s">
        <v>1627</v>
      </c>
      <c r="D182" s="121" t="s">
        <v>1628</v>
      </c>
      <c r="E182" s="121" t="s">
        <v>1629</v>
      </c>
      <c r="F182" s="121" t="s">
        <v>1630</v>
      </c>
      <c r="G182" s="121" t="s">
        <v>1631</v>
      </c>
      <c r="H182" s="121" t="s">
        <v>1632</v>
      </c>
      <c r="I182" s="1">
        <v>696.5</v>
      </c>
      <c r="J182" s="121" t="s">
        <v>1633</v>
      </c>
      <c r="K182" s="121" t="s">
        <v>1634</v>
      </c>
      <c r="M182" s="122">
        <v>45551</v>
      </c>
      <c r="N182" s="1">
        <f t="shared" si="44"/>
        <v>2.1702600248992908E-3</v>
      </c>
      <c r="O182" s="1">
        <f t="shared" si="45"/>
        <v>-8.3195888831005867E-3</v>
      </c>
      <c r="P182" s="1">
        <f t="shared" si="46"/>
        <v>1.0705675426824034E-2</v>
      </c>
      <c r="Q182" s="1">
        <f t="shared" si="47"/>
        <v>7.9401518879344182E-3</v>
      </c>
      <c r="R182" s="1">
        <f t="shared" si="48"/>
        <v>6.6649330212658446E-3</v>
      </c>
      <c r="S182" s="1">
        <f t="shared" si="49"/>
        <v>5.6843852437736169E-3</v>
      </c>
      <c r="T182" s="1">
        <f t="shared" si="50"/>
        <v>8.7942031534408733E-3</v>
      </c>
      <c r="U182" s="1">
        <f t="shared" si="51"/>
        <v>1.4835528139506166E-2</v>
      </c>
      <c r="V182" s="1">
        <f t="shared" si="52"/>
        <v>-1.0242337250829953E-2</v>
      </c>
      <c r="W182" s="1">
        <f t="shared" si="53"/>
        <v>4.7948903150236291E-3</v>
      </c>
      <c r="Y182" s="1">
        <f t="shared" si="54"/>
        <v>5.0530089259225963E-4</v>
      </c>
      <c r="Z182" s="1">
        <f t="shared" si="55"/>
        <v>-9.9845480154076172E-3</v>
      </c>
      <c r="AA182" s="1">
        <f t="shared" si="56"/>
        <v>9.0407162945170035E-3</v>
      </c>
      <c r="AB182" s="1">
        <f t="shared" si="57"/>
        <v>6.2751927556273868E-3</v>
      </c>
      <c r="AC182" s="1">
        <f t="shared" si="58"/>
        <v>4.9999738889588132E-3</v>
      </c>
      <c r="AD182" s="1">
        <f t="shared" si="59"/>
        <v>4.0194261114665855E-3</v>
      </c>
      <c r="AE182" s="1">
        <f t="shared" si="60"/>
        <v>7.1292440211338419E-3</v>
      </c>
      <c r="AF182" s="1">
        <f t="shared" si="61"/>
        <v>1.3170569007199135E-2</v>
      </c>
      <c r="AG182" s="1">
        <f t="shared" si="62"/>
        <v>-1.1907296383136983E-2</v>
      </c>
      <c r="AH182" s="1">
        <f t="shared" si="63"/>
        <v>3.1299311827165978E-3</v>
      </c>
      <c r="AW182" s="28"/>
    </row>
    <row r="183" spans="1:49" x14ac:dyDescent="0.3">
      <c r="A183" s="120">
        <v>45552</v>
      </c>
      <c r="B183" s="121" t="s">
        <v>1635</v>
      </c>
      <c r="C183" s="121" t="s">
        <v>1636</v>
      </c>
      <c r="D183" s="121" t="s">
        <v>1637</v>
      </c>
      <c r="E183" s="121" t="s">
        <v>1638</v>
      </c>
      <c r="F183" s="121" t="s">
        <v>1639</v>
      </c>
      <c r="G183" s="121" t="s">
        <v>1640</v>
      </c>
      <c r="H183" s="121" t="s">
        <v>1641</v>
      </c>
      <c r="I183" s="121" t="s">
        <v>1642</v>
      </c>
      <c r="J183" s="121" t="s">
        <v>1643</v>
      </c>
      <c r="K183" s="121" t="s">
        <v>1644</v>
      </c>
      <c r="M183" s="122">
        <v>45552</v>
      </c>
      <c r="N183" s="1">
        <f t="shared" si="44"/>
        <v>1.782992162772707E-2</v>
      </c>
      <c r="O183" s="1">
        <f t="shared" si="45"/>
        <v>-1.6917350625425525E-2</v>
      </c>
      <c r="P183" s="1">
        <f t="shared" si="46"/>
        <v>-2.4109315472507055E-3</v>
      </c>
      <c r="Q183" s="1">
        <f t="shared" si="47"/>
        <v>3.0707573492444527E-3</v>
      </c>
      <c r="R183" s="1">
        <f t="shared" si="48"/>
        <v>-8.25382300104327E-3</v>
      </c>
      <c r="S183" s="1">
        <f t="shared" si="49"/>
        <v>3.0345440872045141E-3</v>
      </c>
      <c r="T183" s="1">
        <f t="shared" si="50"/>
        <v>-1.0023640645431544E-2</v>
      </c>
      <c r="U183" s="1">
        <f t="shared" si="51"/>
        <v>-2.3530838661893896E-2</v>
      </c>
      <c r="V183" s="1">
        <f t="shared" si="52"/>
        <v>-1.9392639512319718E-2</v>
      </c>
      <c r="W183" s="1">
        <f t="shared" si="53"/>
        <v>-2.9445960609871939E-3</v>
      </c>
      <c r="Y183" s="1">
        <f t="shared" si="54"/>
        <v>1.616496249542004E-2</v>
      </c>
      <c r="Z183" s="1">
        <f t="shared" si="55"/>
        <v>-1.8582309757732555E-2</v>
      </c>
      <c r="AA183" s="1">
        <f t="shared" si="56"/>
        <v>-4.0758906795577369E-3</v>
      </c>
      <c r="AB183" s="1">
        <f t="shared" si="57"/>
        <v>1.4057982169374216E-3</v>
      </c>
      <c r="AC183" s="1">
        <f t="shared" si="58"/>
        <v>-9.9187821333503005E-3</v>
      </c>
      <c r="AD183" s="1">
        <f t="shared" si="59"/>
        <v>1.369584954897483E-3</v>
      </c>
      <c r="AE183" s="1">
        <f t="shared" si="60"/>
        <v>-1.1688599777738574E-2</v>
      </c>
      <c r="AF183" s="1">
        <f t="shared" si="61"/>
        <v>-2.5195797794200926E-2</v>
      </c>
      <c r="AG183" s="1">
        <f t="shared" si="62"/>
        <v>-2.1057598644626748E-2</v>
      </c>
      <c r="AH183" s="1">
        <f t="shared" si="63"/>
        <v>-4.6095551932942248E-3</v>
      </c>
      <c r="AW183" s="28"/>
    </row>
    <row r="184" spans="1:49" x14ac:dyDescent="0.3">
      <c r="A184" s="120">
        <v>45553</v>
      </c>
      <c r="B184" s="121" t="s">
        <v>1645</v>
      </c>
      <c r="C184" s="121" t="s">
        <v>1646</v>
      </c>
      <c r="D184" s="121" t="s">
        <v>1647</v>
      </c>
      <c r="E184" s="121" t="s">
        <v>1648</v>
      </c>
      <c r="F184" s="121" t="s">
        <v>1649</v>
      </c>
      <c r="G184" s="121" t="s">
        <v>1650</v>
      </c>
      <c r="H184" s="121" t="s">
        <v>1651</v>
      </c>
      <c r="I184" s="1">
        <v>690.469970703125</v>
      </c>
      <c r="J184" s="121" t="s">
        <v>1652</v>
      </c>
      <c r="K184" s="121" t="s">
        <v>1653</v>
      </c>
      <c r="M184" s="122">
        <v>45553</v>
      </c>
      <c r="N184" s="1">
        <f t="shared" si="44"/>
        <v>3.639514091948072E-2</v>
      </c>
      <c r="O184" s="1">
        <f t="shared" si="45"/>
        <v>5.5418645959343669E-2</v>
      </c>
      <c r="P184" s="1">
        <f t="shared" si="46"/>
        <v>1.8283807518040037E-2</v>
      </c>
      <c r="Q184" s="1">
        <f t="shared" si="47"/>
        <v>1.4474586539267222E-2</v>
      </c>
      <c r="R184" s="1">
        <f t="shared" si="48"/>
        <v>1.4114702200826492E-2</v>
      </c>
      <c r="S184" s="1">
        <f t="shared" si="49"/>
        <v>3.8562669666724107E-2</v>
      </c>
      <c r="T184" s="1">
        <f t="shared" si="50"/>
        <v>1.8125831410756736E-2</v>
      </c>
      <c r="U184" s="1">
        <f t="shared" si="51"/>
        <v>1.9860326039615864E-2</v>
      </c>
      <c r="V184" s="1">
        <f t="shared" si="52"/>
        <v>3.8925509202443434E-2</v>
      </c>
      <c r="W184" s="1">
        <f t="shared" si="53"/>
        <v>7.1009621758251595E-2</v>
      </c>
      <c r="Y184" s="1">
        <f t="shared" si="54"/>
        <v>3.4730181787173686E-2</v>
      </c>
      <c r="Z184" s="1">
        <f t="shared" si="55"/>
        <v>5.3753686827036636E-2</v>
      </c>
      <c r="AA184" s="1">
        <f t="shared" si="56"/>
        <v>1.6618848385733007E-2</v>
      </c>
      <c r="AB184" s="1">
        <f t="shared" si="57"/>
        <v>1.2809627406960192E-2</v>
      </c>
      <c r="AC184" s="1">
        <f t="shared" si="58"/>
        <v>1.2449743068519462E-2</v>
      </c>
      <c r="AD184" s="1">
        <f t="shared" si="59"/>
        <v>3.6897710534417073E-2</v>
      </c>
      <c r="AE184" s="1">
        <f t="shared" si="60"/>
        <v>1.6460872278449706E-2</v>
      </c>
      <c r="AF184" s="1">
        <f t="shared" si="61"/>
        <v>1.8195366907308833E-2</v>
      </c>
      <c r="AG184" s="1">
        <f t="shared" si="62"/>
        <v>3.72605500701364E-2</v>
      </c>
      <c r="AH184" s="1">
        <f t="shared" si="63"/>
        <v>6.9344662625944561E-2</v>
      </c>
      <c r="AW184" s="28"/>
    </row>
    <row r="185" spans="1:49" x14ac:dyDescent="0.3">
      <c r="A185" s="120">
        <v>45554</v>
      </c>
      <c r="B185" s="121" t="s">
        <v>1654</v>
      </c>
      <c r="C185" s="121" t="s">
        <v>1655</v>
      </c>
      <c r="D185" s="121" t="s">
        <v>1656</v>
      </c>
      <c r="E185" s="121" t="s">
        <v>1657</v>
      </c>
      <c r="F185" s="121" t="s">
        <v>1658</v>
      </c>
      <c r="G185" s="121" t="s">
        <v>1659</v>
      </c>
      <c r="H185" s="121" t="s">
        <v>1660</v>
      </c>
      <c r="I185" s="121" t="s">
        <v>1661</v>
      </c>
      <c r="J185" s="121" t="s">
        <v>1662</v>
      </c>
      <c r="K185" s="121" t="s">
        <v>1663</v>
      </c>
      <c r="M185" s="122">
        <v>45554</v>
      </c>
      <c r="N185" s="1">
        <f t="shared" si="44"/>
        <v>-2.931739943644963E-3</v>
      </c>
      <c r="O185" s="1">
        <f t="shared" si="45"/>
        <v>-5.0529931860735884E-3</v>
      </c>
      <c r="P185" s="1">
        <f t="shared" si="46"/>
        <v>9.0702956535538941E-3</v>
      </c>
      <c r="Q185" s="1">
        <f t="shared" si="47"/>
        <v>8.9031169489230868E-3</v>
      </c>
      <c r="R185" s="1">
        <f t="shared" si="48"/>
        <v>2.8939961072280604E-3</v>
      </c>
      <c r="S185" s="1">
        <f t="shared" si="49"/>
        <v>4.0161895257813749E-3</v>
      </c>
      <c r="T185" s="1">
        <f t="shared" si="50"/>
        <v>-7.8264936215371363E-3</v>
      </c>
      <c r="U185" s="1">
        <f t="shared" si="51"/>
        <v>-4.6820848213303861E-3</v>
      </c>
      <c r="V185" s="1">
        <f t="shared" si="52"/>
        <v>-1.5992117615348796E-2</v>
      </c>
      <c r="W185" s="1">
        <f t="shared" si="53"/>
        <v>-2.3519752638902772E-2</v>
      </c>
      <c r="Y185" s="1">
        <f t="shared" si="54"/>
        <v>-4.5966990759519939E-3</v>
      </c>
      <c r="Z185" s="1">
        <f t="shared" si="55"/>
        <v>-6.7179523183806197E-3</v>
      </c>
      <c r="AA185" s="1">
        <f t="shared" si="56"/>
        <v>7.4053365212468627E-3</v>
      </c>
      <c r="AB185" s="1">
        <f t="shared" si="57"/>
        <v>7.2381578166160554E-3</v>
      </c>
      <c r="AC185" s="1">
        <f t="shared" si="58"/>
        <v>1.2290369749210293E-3</v>
      </c>
      <c r="AD185" s="1">
        <f t="shared" si="59"/>
        <v>2.3512303934743435E-3</v>
      </c>
      <c r="AE185" s="1">
        <f t="shared" si="60"/>
        <v>-9.4914527538441668E-3</v>
      </c>
      <c r="AF185" s="1">
        <f t="shared" si="61"/>
        <v>-6.3470439536374174E-3</v>
      </c>
      <c r="AG185" s="1">
        <f t="shared" si="62"/>
        <v>-1.7657076747655827E-2</v>
      </c>
      <c r="AH185" s="1">
        <f t="shared" si="63"/>
        <v>-2.5184711771209803E-2</v>
      </c>
      <c r="AW185" s="28"/>
    </row>
    <row r="186" spans="1:49" x14ac:dyDescent="0.3">
      <c r="A186" s="120">
        <v>45555</v>
      </c>
      <c r="B186" s="121" t="s">
        <v>1664</v>
      </c>
      <c r="C186" s="121" t="s">
        <v>1665</v>
      </c>
      <c r="D186" s="121" t="s">
        <v>1666</v>
      </c>
      <c r="E186" s="121" t="s">
        <v>1667</v>
      </c>
      <c r="F186" s="1">
        <v>208.726318359375</v>
      </c>
      <c r="G186" s="1">
        <v>560.39892578125</v>
      </c>
      <c r="H186" s="121" t="s">
        <v>1668</v>
      </c>
      <c r="I186" s="1">
        <v>701.030029296875</v>
      </c>
      <c r="J186" s="121" t="s">
        <v>1669</v>
      </c>
      <c r="K186" s="1">
        <v>238.25</v>
      </c>
      <c r="M186" s="122">
        <v>45555</v>
      </c>
      <c r="N186" s="1">
        <f t="shared" si="44"/>
        <v>-7.60993179470262E-3</v>
      </c>
      <c r="O186" s="1">
        <f t="shared" si="45"/>
        <v>5.1167560280413246E-3</v>
      </c>
      <c r="P186" s="1">
        <f t="shared" si="46"/>
        <v>1.1829538769621143E-2</v>
      </c>
      <c r="Q186" s="1">
        <f t="shared" si="47"/>
        <v>-1.0693310770175411E-2</v>
      </c>
      <c r="R186" s="1">
        <f t="shared" si="48"/>
        <v>1.6567052804534637E-3</v>
      </c>
      <c r="S186" s="1">
        <f t="shared" si="49"/>
        <v>5.4364385458413574E-3</v>
      </c>
      <c r="T186" s="1">
        <f t="shared" si="50"/>
        <v>-4.0515727384171155E-3</v>
      </c>
      <c r="U186" s="1">
        <f t="shared" si="51"/>
        <v>6.1717569979390643E-3</v>
      </c>
      <c r="V186" s="1">
        <f t="shared" si="52"/>
        <v>2.2389212071942427E-3</v>
      </c>
      <c r="W186" s="1">
        <f t="shared" si="53"/>
        <v>4.8140375327935025E-2</v>
      </c>
      <c r="Y186" s="1">
        <f t="shared" si="54"/>
        <v>-9.2748909270096505E-3</v>
      </c>
      <c r="Z186" s="1">
        <f t="shared" si="55"/>
        <v>3.4517968957342932E-3</v>
      </c>
      <c r="AA186" s="1">
        <f t="shared" si="56"/>
        <v>1.0164579637314113E-2</v>
      </c>
      <c r="AB186" s="1">
        <f t="shared" si="57"/>
        <v>-1.2358269902482441E-2</v>
      </c>
      <c r="AC186" s="1">
        <f t="shared" si="58"/>
        <v>-8.2538518535674524E-6</v>
      </c>
      <c r="AD186" s="1">
        <f t="shared" si="59"/>
        <v>3.771479413534326E-3</v>
      </c>
      <c r="AE186" s="1">
        <f t="shared" si="60"/>
        <v>-5.7165318707241468E-3</v>
      </c>
      <c r="AF186" s="1">
        <f t="shared" si="61"/>
        <v>4.506797865632033E-3</v>
      </c>
      <c r="AG186" s="1">
        <f t="shared" si="62"/>
        <v>5.7396207488721158E-4</v>
      </c>
      <c r="AH186" s="1">
        <f t="shared" si="63"/>
        <v>4.6475416195627992E-2</v>
      </c>
      <c r="AW186" s="28"/>
    </row>
    <row r="187" spans="1:49" x14ac:dyDescent="0.3">
      <c r="A187" s="120">
        <v>45558</v>
      </c>
      <c r="B187" s="1">
        <v>225.97265625</v>
      </c>
      <c r="C187" s="1">
        <v>156.75</v>
      </c>
      <c r="D187" s="121" t="s">
        <v>1670</v>
      </c>
      <c r="E187" s="121" t="s">
        <v>1671</v>
      </c>
      <c r="F187" s="121" t="s">
        <v>1672</v>
      </c>
      <c r="G187" s="121" t="s">
        <v>1673</v>
      </c>
      <c r="H187" s="121" t="s">
        <v>1674</v>
      </c>
      <c r="I187" s="121" t="s">
        <v>1675</v>
      </c>
      <c r="J187" s="121" t="s">
        <v>1676</v>
      </c>
      <c r="K187" s="1">
        <v>250</v>
      </c>
      <c r="M187" s="122">
        <v>45558</v>
      </c>
      <c r="N187" s="1">
        <f t="shared" si="44"/>
        <v>3.9661693769631971E-3</v>
      </c>
      <c r="O187" s="1">
        <f t="shared" si="45"/>
        <v>9.9661680433938554E-3</v>
      </c>
      <c r="P187" s="1">
        <f t="shared" si="46"/>
        <v>4.1255068996273107E-4</v>
      </c>
      <c r="Q187" s="1">
        <f t="shared" si="47"/>
        <v>2.7148123994929704E-3</v>
      </c>
      <c r="R187" s="1">
        <f t="shared" si="48"/>
        <v>7.091459473640892E-4</v>
      </c>
      <c r="S187" s="1">
        <f t="shared" si="49"/>
        <v>-1.9152551259778751E-3</v>
      </c>
      <c r="T187" s="1">
        <f t="shared" si="50"/>
        <v>-1.0061823012642603E-2</v>
      </c>
      <c r="U187" s="1">
        <f t="shared" si="51"/>
        <v>2.3662717479047239E-2</v>
      </c>
      <c r="V187" s="1">
        <f t="shared" si="52"/>
        <v>3.8886478703460618E-2</v>
      </c>
      <c r="W187" s="1">
        <f t="shared" si="53"/>
        <v>1.6935793509049505E-2</v>
      </c>
      <c r="Y187" s="1">
        <f t="shared" si="54"/>
        <v>2.3012102446561657E-3</v>
      </c>
      <c r="Z187" s="1">
        <f t="shared" si="55"/>
        <v>8.3012089110868249E-3</v>
      </c>
      <c r="AA187" s="1">
        <f t="shared" si="56"/>
        <v>-1.2524084423443001E-3</v>
      </c>
      <c r="AB187" s="1">
        <f t="shared" si="57"/>
        <v>1.0498532671859393E-3</v>
      </c>
      <c r="AC187" s="1">
        <f t="shared" si="58"/>
        <v>-9.5581318494294195E-4</v>
      </c>
      <c r="AD187" s="1">
        <f t="shared" si="59"/>
        <v>-3.5802142582849064E-3</v>
      </c>
      <c r="AE187" s="1">
        <f t="shared" si="60"/>
        <v>-1.1726782144949634E-2</v>
      </c>
      <c r="AF187" s="1">
        <f t="shared" si="61"/>
        <v>2.1997758346740209E-2</v>
      </c>
      <c r="AG187" s="1">
        <f t="shared" si="62"/>
        <v>3.7221519571153584E-2</v>
      </c>
      <c r="AH187" s="1">
        <f t="shared" si="63"/>
        <v>1.5270834376742475E-2</v>
      </c>
      <c r="AW187" s="28"/>
    </row>
    <row r="188" spans="1:49" x14ac:dyDescent="0.3">
      <c r="A188" s="120">
        <v>45559</v>
      </c>
      <c r="B188" s="121" t="s">
        <v>1677</v>
      </c>
      <c r="C188" s="121" t="s">
        <v>1678</v>
      </c>
      <c r="D188" s="121" t="s">
        <v>1679</v>
      </c>
      <c r="E188" s="1">
        <v>161.917724609375</v>
      </c>
      <c r="F188" s="121" t="s">
        <v>1680</v>
      </c>
      <c r="G188" s="121" t="s">
        <v>1681</v>
      </c>
      <c r="H188" s="1">
        <v>427.45556640625</v>
      </c>
      <c r="I188" s="1">
        <v>722.260009765625</v>
      </c>
      <c r="J188" s="121" t="s">
        <v>1682</v>
      </c>
      <c r="K188" s="121" t="s">
        <v>1683</v>
      </c>
      <c r="M188" s="122">
        <v>45559</v>
      </c>
      <c r="N188" s="1">
        <f t="shared" si="44"/>
        <v>-4.4078124408492066E-3</v>
      </c>
      <c r="O188" s="1">
        <f t="shared" si="45"/>
        <v>2.3101463215875067E-2</v>
      </c>
      <c r="P188" s="1">
        <f t="shared" si="46"/>
        <v>-7.4000074509371081E-3</v>
      </c>
      <c r="Q188" s="1">
        <f t="shared" si="47"/>
        <v>-4.9415865044775157E-3</v>
      </c>
      <c r="R188" s="1">
        <f t="shared" si="48"/>
        <v>-6.6384811537009564E-3</v>
      </c>
      <c r="S188" s="1">
        <f t="shared" si="49"/>
        <v>8.8013245394069992E-3</v>
      </c>
      <c r="T188" s="1">
        <f t="shared" si="50"/>
        <v>6.8270694845791614E-3</v>
      </c>
      <c r="U188" s="1">
        <f t="shared" si="51"/>
        <v>-9.696669367790429E-4</v>
      </c>
      <c r="V188" s="1">
        <f t="shared" si="52"/>
        <v>2.1606572813230605E-2</v>
      </c>
      <c r="W188" s="1">
        <f t="shared" si="53"/>
        <v>1.0757148762662896E-2</v>
      </c>
      <c r="Y188" s="1">
        <f t="shared" si="54"/>
        <v>-6.072771573156238E-3</v>
      </c>
      <c r="Z188" s="1">
        <f t="shared" si="55"/>
        <v>2.1436504083568036E-2</v>
      </c>
      <c r="AA188" s="1">
        <f t="shared" si="56"/>
        <v>-9.0649665832441394E-3</v>
      </c>
      <c r="AB188" s="1">
        <f t="shared" si="57"/>
        <v>-6.6065456367845471E-3</v>
      </c>
      <c r="AC188" s="1">
        <f t="shared" si="58"/>
        <v>-8.3034402860079869E-3</v>
      </c>
      <c r="AD188" s="1">
        <f t="shared" si="59"/>
        <v>7.1363654070999679E-3</v>
      </c>
      <c r="AE188" s="1">
        <f t="shared" si="60"/>
        <v>5.16211035227213E-3</v>
      </c>
      <c r="AF188" s="1">
        <f t="shared" si="61"/>
        <v>-2.6346260690860738E-3</v>
      </c>
      <c r="AG188" s="1">
        <f t="shared" si="62"/>
        <v>1.9941613680923575E-2</v>
      </c>
      <c r="AH188" s="1">
        <f t="shared" si="63"/>
        <v>9.0921896303558652E-3</v>
      </c>
      <c r="AW188" s="28"/>
    </row>
    <row r="189" spans="1:49" x14ac:dyDescent="0.3">
      <c r="A189" s="120">
        <v>45560</v>
      </c>
      <c r="B189" s="121" t="s">
        <v>1684</v>
      </c>
      <c r="C189" s="121" t="s">
        <v>1685</v>
      </c>
      <c r="D189" s="121" t="s">
        <v>446</v>
      </c>
      <c r="E189" s="121" t="s">
        <v>1686</v>
      </c>
      <c r="F189" s="121" t="s">
        <v>1687</v>
      </c>
      <c r="G189" s="1">
        <v>567.34716796875</v>
      </c>
      <c r="H189" s="121" t="s">
        <v>1688</v>
      </c>
      <c r="I189" s="121" t="s">
        <v>1689</v>
      </c>
      <c r="J189" s="121" t="s">
        <v>1690</v>
      </c>
      <c r="K189" s="121" t="s">
        <v>1691</v>
      </c>
      <c r="M189" s="122">
        <v>45560</v>
      </c>
      <c r="N189" s="1">
        <f t="shared" si="44"/>
        <v>5.067325209960504E-3</v>
      </c>
      <c r="O189" s="1">
        <f t="shared" si="45"/>
        <v>3.3203870015045996E-2</v>
      </c>
      <c r="P189" s="1">
        <f t="shared" si="46"/>
        <v>-7.1411865336579042E-3</v>
      </c>
      <c r="Q189" s="1">
        <f t="shared" si="47"/>
        <v>7.6491426307761521E-3</v>
      </c>
      <c r="R189" s="1">
        <f t="shared" si="48"/>
        <v>-1.9526028725827512E-3</v>
      </c>
      <c r="S189" s="1">
        <f t="shared" si="49"/>
        <v>-8.2720121106260962E-4</v>
      </c>
      <c r="T189" s="1">
        <f t="shared" si="50"/>
        <v>-1.8531191280540924E-3</v>
      </c>
      <c r="U189" s="1">
        <f t="shared" si="51"/>
        <v>-1.4138512757534026E-2</v>
      </c>
      <c r="V189" s="1">
        <f t="shared" si="52"/>
        <v>4.2819705792473909E-3</v>
      </c>
      <c r="W189" s="1">
        <f t="shared" si="53"/>
        <v>-1.095382146567762E-2</v>
      </c>
      <c r="Y189" s="1">
        <f t="shared" si="54"/>
        <v>3.4023660776534726E-3</v>
      </c>
      <c r="Z189" s="1">
        <f t="shared" si="55"/>
        <v>3.1538910882738962E-2</v>
      </c>
      <c r="AA189" s="1">
        <f t="shared" si="56"/>
        <v>-8.8061456659649356E-3</v>
      </c>
      <c r="AB189" s="1">
        <f t="shared" si="57"/>
        <v>5.9841834984691207E-3</v>
      </c>
      <c r="AC189" s="1">
        <f t="shared" si="58"/>
        <v>-3.6175620048897825E-3</v>
      </c>
      <c r="AD189" s="1">
        <f t="shared" si="59"/>
        <v>-2.4921603433696407E-3</v>
      </c>
      <c r="AE189" s="1">
        <f t="shared" si="60"/>
        <v>-3.5180782603611233E-3</v>
      </c>
      <c r="AF189" s="1">
        <f t="shared" si="61"/>
        <v>-1.5803471889841058E-2</v>
      </c>
      <c r="AG189" s="1">
        <f t="shared" si="62"/>
        <v>2.6170114469403595E-3</v>
      </c>
      <c r="AH189" s="1">
        <f t="shared" si="63"/>
        <v>-1.2618780597984651E-2</v>
      </c>
      <c r="AW189" s="28"/>
    </row>
    <row r="190" spans="1:49" x14ac:dyDescent="0.3">
      <c r="A190" s="120">
        <v>45561</v>
      </c>
      <c r="B190" s="121" t="s">
        <v>1692</v>
      </c>
      <c r="C190" s="121" t="s">
        <v>1693</v>
      </c>
      <c r="D190" s="121" t="s">
        <v>1694</v>
      </c>
      <c r="E190" s="121" t="s">
        <v>1695</v>
      </c>
      <c r="F190" s="121" t="s">
        <v>1287</v>
      </c>
      <c r="G190" s="121" t="s">
        <v>1696</v>
      </c>
      <c r="H190" s="121" t="s">
        <v>1697</v>
      </c>
      <c r="I190" s="121" t="s">
        <v>1698</v>
      </c>
      <c r="J190" s="121" t="s">
        <v>1699</v>
      </c>
      <c r="K190" s="121" t="s">
        <v>1700</v>
      </c>
      <c r="M190" s="122">
        <v>45561</v>
      </c>
      <c r="N190" s="1">
        <f t="shared" si="44"/>
        <v>1.1859474393422782E-3</v>
      </c>
      <c r="O190" s="1">
        <f t="shared" si="45"/>
        <v>-1.8925343539819048E-2</v>
      </c>
      <c r="P190" s="1">
        <f t="shared" si="46"/>
        <v>-1.6828410744613456E-2</v>
      </c>
      <c r="Q190" s="1">
        <f t="shared" si="47"/>
        <v>7.4691626921864658E-3</v>
      </c>
      <c r="R190" s="1">
        <f t="shared" si="48"/>
        <v>3.4263232283057448E-3</v>
      </c>
      <c r="S190" s="1">
        <f t="shared" si="49"/>
        <v>-8.4577404564625315E-4</v>
      </c>
      <c r="T190" s="1">
        <f t="shared" si="50"/>
        <v>-7.6571617452526313E-3</v>
      </c>
      <c r="U190" s="1">
        <f t="shared" si="51"/>
        <v>-5.7514603083157799E-3</v>
      </c>
      <c r="V190" s="1">
        <f t="shared" si="52"/>
        <v>-2.1513188810793924E-2</v>
      </c>
      <c r="W190" s="1">
        <f t="shared" si="53"/>
        <v>2.4249227064234113E-2</v>
      </c>
      <c r="Y190" s="1">
        <f t="shared" si="54"/>
        <v>-4.7901169296475296E-4</v>
      </c>
      <c r="Z190" s="1">
        <f t="shared" si="55"/>
        <v>-2.0590302672126078E-2</v>
      </c>
      <c r="AA190" s="1">
        <f t="shared" si="56"/>
        <v>-1.8493369876920487E-2</v>
      </c>
      <c r="AB190" s="1">
        <f t="shared" si="57"/>
        <v>5.8042035598794344E-3</v>
      </c>
      <c r="AC190" s="1">
        <f t="shared" si="58"/>
        <v>1.7613640959987136E-3</v>
      </c>
      <c r="AD190" s="1">
        <f t="shared" si="59"/>
        <v>-2.5107331779532843E-3</v>
      </c>
      <c r="AE190" s="1">
        <f t="shared" si="60"/>
        <v>-9.3221208775596618E-3</v>
      </c>
      <c r="AF190" s="1">
        <f t="shared" si="61"/>
        <v>-7.4164194406228113E-3</v>
      </c>
      <c r="AG190" s="1">
        <f t="shared" si="62"/>
        <v>-2.3178147943100955E-2</v>
      </c>
      <c r="AH190" s="1">
        <f t="shared" si="63"/>
        <v>2.2584267931927082E-2</v>
      </c>
      <c r="AW190" s="28"/>
    </row>
    <row r="191" spans="1:49" x14ac:dyDescent="0.3">
      <c r="A191" s="120">
        <v>45562</v>
      </c>
      <c r="B191" s="121" t="s">
        <v>1701</v>
      </c>
      <c r="C191" s="121" t="s">
        <v>1702</v>
      </c>
      <c r="D191" s="121" t="s">
        <v>1703</v>
      </c>
      <c r="E191" s="121" t="s">
        <v>1704</v>
      </c>
      <c r="F191" s="121" t="s">
        <v>1705</v>
      </c>
      <c r="G191" s="121" t="s">
        <v>1706</v>
      </c>
      <c r="H191" s="121" t="s">
        <v>1707</v>
      </c>
      <c r="I191" s="121" t="s">
        <v>1708</v>
      </c>
      <c r="J191" s="121" t="s">
        <v>1709</v>
      </c>
      <c r="K191" s="121" t="s">
        <v>1710</v>
      </c>
      <c r="M191" s="122">
        <v>45562</v>
      </c>
      <c r="N191" s="1">
        <f t="shared" si="44"/>
        <v>2.2614320302757888E-2</v>
      </c>
      <c r="O191" s="1">
        <f t="shared" si="45"/>
        <v>-1.6442123238812891E-3</v>
      </c>
      <c r="P191" s="1">
        <f t="shared" si="46"/>
        <v>-8.7630770563787482E-3</v>
      </c>
      <c r="Q191" s="1">
        <f t="shared" si="47"/>
        <v>1.1522282604020263E-2</v>
      </c>
      <c r="R191" s="1">
        <f t="shared" si="48"/>
        <v>1.7087692624432494E-3</v>
      </c>
      <c r="S191" s="1">
        <f t="shared" si="49"/>
        <v>8.9139340829446148E-3</v>
      </c>
      <c r="T191" s="1">
        <f t="shared" si="50"/>
        <v>5.3126747189619541E-3</v>
      </c>
      <c r="U191" s="1">
        <f t="shared" si="51"/>
        <v>2.710741239932671E-3</v>
      </c>
      <c r="V191" s="1">
        <f t="shared" si="52"/>
        <v>3.2936986864916755E-4</v>
      </c>
      <c r="W191" s="1">
        <f t="shared" si="53"/>
        <v>4.4820448375317359E-3</v>
      </c>
      <c r="Y191" s="1">
        <f t="shared" si="54"/>
        <v>2.0949361170450858E-2</v>
      </c>
      <c r="Z191" s="1">
        <f t="shared" si="55"/>
        <v>-3.3091714561883203E-3</v>
      </c>
      <c r="AA191" s="1">
        <f t="shared" si="56"/>
        <v>-1.0428036188685779E-2</v>
      </c>
      <c r="AB191" s="1">
        <f t="shared" si="57"/>
        <v>9.8573234717132321E-3</v>
      </c>
      <c r="AC191" s="1">
        <f t="shared" si="58"/>
        <v>4.3810130136218237E-5</v>
      </c>
      <c r="AD191" s="1">
        <f t="shared" si="59"/>
        <v>7.2489749506375835E-3</v>
      </c>
      <c r="AE191" s="1">
        <f t="shared" si="60"/>
        <v>3.6477155866549227E-3</v>
      </c>
      <c r="AF191" s="1">
        <f t="shared" si="61"/>
        <v>1.0457821076256398E-3</v>
      </c>
      <c r="AG191" s="1">
        <f t="shared" si="62"/>
        <v>-1.3355892636578636E-3</v>
      </c>
      <c r="AH191" s="1">
        <f t="shared" si="63"/>
        <v>2.8170857052247046E-3</v>
      </c>
      <c r="AW191" s="28"/>
    </row>
    <row r="192" spans="1:49" x14ac:dyDescent="0.3">
      <c r="A192" s="120">
        <v>45565</v>
      </c>
      <c r="B192" s="121" t="s">
        <v>1711</v>
      </c>
      <c r="C192" s="121" t="s">
        <v>1712</v>
      </c>
      <c r="D192" s="121" t="s">
        <v>1713</v>
      </c>
      <c r="E192" s="121" t="s">
        <v>1714</v>
      </c>
      <c r="F192" s="121" t="s">
        <v>1715</v>
      </c>
      <c r="G192" s="1">
        <v>571.47021484375</v>
      </c>
      <c r="H192" s="121" t="s">
        <v>1716</v>
      </c>
      <c r="I192" s="1">
        <v>709.27001953125</v>
      </c>
      <c r="J192" s="121" t="s">
        <v>1717</v>
      </c>
      <c r="K192" s="121" t="s">
        <v>1718</v>
      </c>
      <c r="M192" s="122">
        <v>45565</v>
      </c>
      <c r="N192" s="1">
        <f t="shared" si="44"/>
        <v>-2.9574668367899955E-2</v>
      </c>
      <c r="O192" s="1">
        <f t="shared" si="45"/>
        <v>-2.6744031666000648E-2</v>
      </c>
      <c r="P192" s="1">
        <f t="shared" si="46"/>
        <v>-6.460997690133404E-3</v>
      </c>
      <c r="Q192" s="1">
        <f t="shared" si="47"/>
        <v>6.8501953854222981E-3</v>
      </c>
      <c r="R192" s="1">
        <f t="shared" si="48"/>
        <v>-1.8282449915169079E-2</v>
      </c>
      <c r="S192" s="1">
        <f t="shared" si="49"/>
        <v>7.0153036367552575E-3</v>
      </c>
      <c r="T192" s="1">
        <f t="shared" si="50"/>
        <v>-2.2586382601780215E-2</v>
      </c>
      <c r="U192" s="1">
        <f t="shared" si="51"/>
        <v>-4.436936195526227E-3</v>
      </c>
      <c r="V192" s="1">
        <f t="shared" si="52"/>
        <v>-3.7246375047268174E-2</v>
      </c>
      <c r="W192" s="1">
        <f t="shared" si="53"/>
        <v>-1.3894251852427103E-2</v>
      </c>
      <c r="Y192" s="1">
        <f t="shared" si="54"/>
        <v>-3.1239627500206986E-2</v>
      </c>
      <c r="Z192" s="1">
        <f t="shared" si="55"/>
        <v>-2.8408990798307679E-2</v>
      </c>
      <c r="AA192" s="1">
        <f t="shared" si="56"/>
        <v>-8.1259568224404354E-3</v>
      </c>
      <c r="AB192" s="1">
        <f t="shared" si="57"/>
        <v>5.1852362531152668E-3</v>
      </c>
      <c r="AC192" s="1">
        <f t="shared" si="58"/>
        <v>-1.9947409047476109E-2</v>
      </c>
      <c r="AD192" s="1">
        <f t="shared" si="59"/>
        <v>5.3503445044482262E-3</v>
      </c>
      <c r="AE192" s="1">
        <f t="shared" si="60"/>
        <v>-2.4251341734087245E-2</v>
      </c>
      <c r="AF192" s="1">
        <f t="shared" si="61"/>
        <v>-6.1018953278332583E-3</v>
      </c>
      <c r="AG192" s="1">
        <f t="shared" si="62"/>
        <v>-3.8911334179575208E-2</v>
      </c>
      <c r="AH192" s="1">
        <f t="shared" si="63"/>
        <v>-1.5559210984734133E-2</v>
      </c>
      <c r="AW192" s="28"/>
    </row>
    <row r="193" spans="1:49" x14ac:dyDescent="0.3">
      <c r="A193" s="120">
        <v>45566</v>
      </c>
      <c r="B193" s="121" t="s">
        <v>1719</v>
      </c>
      <c r="C193" s="1">
        <v>159.75</v>
      </c>
      <c r="D193" s="121" t="s">
        <v>1720</v>
      </c>
      <c r="E193" s="121" t="s">
        <v>1721</v>
      </c>
      <c r="F193" s="121" t="s">
        <v>1722</v>
      </c>
      <c r="G193" s="121" t="s">
        <v>1723</v>
      </c>
      <c r="H193" s="121" t="s">
        <v>1724</v>
      </c>
      <c r="I193" s="121" t="s">
        <v>1725</v>
      </c>
      <c r="J193" s="121" t="s">
        <v>1726</v>
      </c>
      <c r="K193" s="121" t="s">
        <v>1727</v>
      </c>
      <c r="M193" s="122">
        <v>45566</v>
      </c>
      <c r="N193" s="1">
        <f t="shared" si="44"/>
        <v>2.5165804994813725E-3</v>
      </c>
      <c r="O193" s="1">
        <f t="shared" si="45"/>
        <v>1.877681563468412E-4</v>
      </c>
      <c r="P193" s="1">
        <f t="shared" si="46"/>
        <v>-2.0006515450793588E-3</v>
      </c>
      <c r="Q193" s="1">
        <f t="shared" si="47"/>
        <v>-6.7898885453073834E-3</v>
      </c>
      <c r="R193" s="1">
        <f t="shared" si="48"/>
        <v>1.2067275174505589E-3</v>
      </c>
      <c r="S193" s="1">
        <f t="shared" si="49"/>
        <v>-6.3691362133534834E-3</v>
      </c>
      <c r="T193" s="1">
        <f t="shared" si="50"/>
        <v>-8.4982179280118988E-3</v>
      </c>
      <c r="U193" s="1">
        <f t="shared" si="51"/>
        <v>6.9996784029616888E-3</v>
      </c>
      <c r="V193" s="1">
        <f t="shared" si="52"/>
        <v>1.5688246688995777E-2</v>
      </c>
      <c r="W193" s="1">
        <f t="shared" si="53"/>
        <v>-3.5503827036257735E-2</v>
      </c>
      <c r="Y193" s="1">
        <f t="shared" si="54"/>
        <v>8.5162136717434138E-4</v>
      </c>
      <c r="Z193" s="1">
        <f t="shared" si="55"/>
        <v>-1.47719097596019E-3</v>
      </c>
      <c r="AA193" s="1">
        <f t="shared" si="56"/>
        <v>-3.6656106773863897E-3</v>
      </c>
      <c r="AB193" s="1">
        <f t="shared" si="57"/>
        <v>-8.4548476776144139E-3</v>
      </c>
      <c r="AC193" s="1">
        <f t="shared" si="58"/>
        <v>-4.5823161485647229E-4</v>
      </c>
      <c r="AD193" s="1">
        <f t="shared" si="59"/>
        <v>-8.0340953456605139E-3</v>
      </c>
      <c r="AE193" s="1">
        <f t="shared" si="60"/>
        <v>-1.0163177060318929E-2</v>
      </c>
      <c r="AF193" s="1">
        <f t="shared" si="61"/>
        <v>5.3347192706546575E-3</v>
      </c>
      <c r="AG193" s="1">
        <f t="shared" si="62"/>
        <v>1.4023287556688746E-2</v>
      </c>
      <c r="AH193" s="1">
        <f t="shared" si="63"/>
        <v>-3.7168786168564769E-2</v>
      </c>
      <c r="AW193" s="28"/>
    </row>
    <row r="194" spans="1:49" x14ac:dyDescent="0.3">
      <c r="A194" s="120">
        <v>45567</v>
      </c>
      <c r="B194" s="121" t="s">
        <v>1728</v>
      </c>
      <c r="C194" s="121" t="s">
        <v>1729</v>
      </c>
      <c r="D194" s="121" t="s">
        <v>855</v>
      </c>
      <c r="E194" s="121" t="s">
        <v>1730</v>
      </c>
      <c r="F194" s="121" t="s">
        <v>1731</v>
      </c>
      <c r="G194" s="1">
        <v>571.839599609375</v>
      </c>
      <c r="H194" s="121" t="s">
        <v>1732</v>
      </c>
      <c r="I194" s="121" t="s">
        <v>1733</v>
      </c>
      <c r="J194" s="121" t="s">
        <v>1734</v>
      </c>
      <c r="K194" s="121" t="s">
        <v>1735</v>
      </c>
      <c r="M194" s="122">
        <v>45567</v>
      </c>
      <c r="N194" s="1">
        <f t="shared" si="44"/>
        <v>-4.9066155099917455E-3</v>
      </c>
      <c r="O194" s="1">
        <f t="shared" si="45"/>
        <v>1.9031707787618413E-2</v>
      </c>
      <c r="P194" s="1">
        <f t="shared" si="46"/>
        <v>-1.5270736231758997E-2</v>
      </c>
      <c r="Q194" s="1">
        <f t="shared" si="47"/>
        <v>0</v>
      </c>
      <c r="R194" s="1">
        <f t="shared" si="48"/>
        <v>-9.9874443219687779E-3</v>
      </c>
      <c r="S194" s="1">
        <f t="shared" si="49"/>
        <v>1.7238504037667475E-2</v>
      </c>
      <c r="T194" s="1">
        <f t="shared" si="50"/>
        <v>-1.4154365186740134E-3</v>
      </c>
      <c r="U194" s="1">
        <f t="shared" si="51"/>
        <v>-6.051318662785677E-3</v>
      </c>
      <c r="V194" s="1">
        <f t="shared" si="52"/>
        <v>3.3101926797437162E-2</v>
      </c>
      <c r="W194" s="1">
        <f t="shared" si="53"/>
        <v>-3.4148067454404872E-2</v>
      </c>
      <c r="Y194" s="1">
        <f t="shared" si="54"/>
        <v>-6.5715746422987768E-3</v>
      </c>
      <c r="Z194" s="1">
        <f t="shared" si="55"/>
        <v>1.7366748655311383E-2</v>
      </c>
      <c r="AA194" s="1">
        <f t="shared" si="56"/>
        <v>-1.6935695364066028E-2</v>
      </c>
      <c r="AB194" s="1">
        <f t="shared" si="57"/>
        <v>-1.6649591323070311E-3</v>
      </c>
      <c r="AC194" s="1">
        <f t="shared" si="58"/>
        <v>-1.1652403454275808E-2</v>
      </c>
      <c r="AD194" s="1">
        <f t="shared" si="59"/>
        <v>1.5573544905360445E-2</v>
      </c>
      <c r="AE194" s="1">
        <f t="shared" si="60"/>
        <v>-3.0803956509810448E-3</v>
      </c>
      <c r="AF194" s="1">
        <f t="shared" si="61"/>
        <v>-7.7162777950927084E-3</v>
      </c>
      <c r="AG194" s="1">
        <f t="shared" si="62"/>
        <v>3.1436967665130128E-2</v>
      </c>
      <c r="AH194" s="1">
        <f t="shared" si="63"/>
        <v>-3.5813026586711906E-2</v>
      </c>
      <c r="AW194" s="28"/>
    </row>
    <row r="195" spans="1:49" x14ac:dyDescent="0.3">
      <c r="A195" s="120">
        <v>45568</v>
      </c>
      <c r="B195" s="121" t="s">
        <v>1736</v>
      </c>
      <c r="C195" s="121" t="s">
        <v>1737</v>
      </c>
      <c r="D195" s="121" t="s">
        <v>1738</v>
      </c>
      <c r="E195" s="121" t="s">
        <v>1730</v>
      </c>
      <c r="F195" s="121" t="s">
        <v>1739</v>
      </c>
      <c r="G195" s="1">
        <v>581.78271484375</v>
      </c>
      <c r="H195" s="121" t="s">
        <v>1740</v>
      </c>
      <c r="I195" s="121" t="s">
        <v>1741</v>
      </c>
      <c r="J195" s="121" t="s">
        <v>1742</v>
      </c>
      <c r="K195" s="121" t="s">
        <v>1743</v>
      </c>
      <c r="M195" s="122">
        <v>45568</v>
      </c>
      <c r="N195" s="1">
        <f t="shared" si="44"/>
        <v>4.9948809323337355E-3</v>
      </c>
      <c r="O195" s="1">
        <f t="shared" si="45"/>
        <v>4.8248985205973975E-2</v>
      </c>
      <c r="P195" s="1">
        <f t="shared" si="46"/>
        <v>2.4697907897675658E-2</v>
      </c>
      <c r="Q195" s="1">
        <f t="shared" si="47"/>
        <v>7.208896188254898E-3</v>
      </c>
      <c r="R195" s="1">
        <f t="shared" si="48"/>
        <v>3.4878315449372123E-2</v>
      </c>
      <c r="S195" s="1">
        <f t="shared" si="49"/>
        <v>2.2347421570667703E-2</v>
      </c>
      <c r="T195" s="1">
        <f t="shared" si="50"/>
        <v>-1.1530288890614973E-3</v>
      </c>
      <c r="U195" s="1">
        <f t="shared" si="51"/>
        <v>1.8086752300337437E-2</v>
      </c>
      <c r="V195" s="1">
        <f t="shared" si="52"/>
        <v>1.6709409282564206E-2</v>
      </c>
      <c r="W195" s="1">
        <f t="shared" si="53"/>
        <v>3.839570976808207E-2</v>
      </c>
      <c r="Y195" s="1">
        <f t="shared" si="54"/>
        <v>3.3299218000267042E-3</v>
      </c>
      <c r="Z195" s="1">
        <f t="shared" si="55"/>
        <v>4.6584026073666941E-2</v>
      </c>
      <c r="AA195" s="1">
        <f t="shared" si="56"/>
        <v>2.3032948765368627E-2</v>
      </c>
      <c r="AB195" s="1">
        <f t="shared" si="57"/>
        <v>5.5439370559478666E-3</v>
      </c>
      <c r="AC195" s="1">
        <f t="shared" si="58"/>
        <v>3.3213356317065089E-2</v>
      </c>
      <c r="AD195" s="1">
        <f t="shared" si="59"/>
        <v>2.0682462438360673E-2</v>
      </c>
      <c r="AE195" s="1">
        <f t="shared" si="60"/>
        <v>-2.8179880213685285E-3</v>
      </c>
      <c r="AF195" s="1">
        <f t="shared" si="61"/>
        <v>1.6421793168030406E-2</v>
      </c>
      <c r="AG195" s="1">
        <f t="shared" si="62"/>
        <v>1.5044450150257176E-2</v>
      </c>
      <c r="AH195" s="1">
        <f t="shared" si="63"/>
        <v>3.6730750635775036E-2</v>
      </c>
      <c r="AW195" s="28"/>
    </row>
    <row r="196" spans="1:49" x14ac:dyDescent="0.3">
      <c r="A196" s="120">
        <v>45569</v>
      </c>
      <c r="B196" s="121" t="s">
        <v>1744</v>
      </c>
      <c r="C196" s="121" t="s">
        <v>1745</v>
      </c>
      <c r="D196" s="121" t="s">
        <v>1746</v>
      </c>
      <c r="E196" s="121" t="s">
        <v>1747</v>
      </c>
      <c r="F196" s="121" t="s">
        <v>1748</v>
      </c>
      <c r="G196" s="1">
        <v>594.930419921875</v>
      </c>
      <c r="H196" s="1">
        <v>414.39794921875</v>
      </c>
      <c r="I196" s="121" t="s">
        <v>1749</v>
      </c>
      <c r="J196" s="1">
        <v>124.89990234375</v>
      </c>
      <c r="K196" s="121" t="s">
        <v>1750</v>
      </c>
      <c r="M196" s="122">
        <v>45569</v>
      </c>
      <c r="N196" s="1">
        <f t="shared" si="44"/>
        <v>-2.2788525372768792E-2</v>
      </c>
      <c r="O196" s="1">
        <f t="shared" si="45"/>
        <v>4.0955524730130951E-4</v>
      </c>
      <c r="P196" s="1">
        <f t="shared" si="46"/>
        <v>-3.1093362659703958E-2</v>
      </c>
      <c r="Q196" s="1">
        <f t="shared" si="47"/>
        <v>-2.4725485432443295E-2</v>
      </c>
      <c r="R196" s="1">
        <f t="shared" si="48"/>
        <v>-1.3740075278509576E-3</v>
      </c>
      <c r="S196" s="1">
        <f t="shared" si="49"/>
        <v>-1.8904315967187894E-2</v>
      </c>
      <c r="T196" s="1">
        <f t="shared" si="50"/>
        <v>-1.579483507031915E-2</v>
      </c>
      <c r="U196" s="1">
        <f t="shared" si="51"/>
        <v>-2.5015062404413532E-2</v>
      </c>
      <c r="V196" s="1">
        <f t="shared" si="52"/>
        <v>2.2166862004131333E-2</v>
      </c>
      <c r="W196" s="1">
        <f t="shared" si="53"/>
        <v>-3.7689575999699368E-2</v>
      </c>
      <c r="Y196" s="1">
        <f t="shared" si="54"/>
        <v>-2.4453484505075822E-2</v>
      </c>
      <c r="Z196" s="1">
        <f t="shared" si="55"/>
        <v>-1.2554038850057217E-3</v>
      </c>
      <c r="AA196" s="1">
        <f t="shared" si="56"/>
        <v>-3.2758321792010991E-2</v>
      </c>
      <c r="AB196" s="1">
        <f t="shared" si="57"/>
        <v>-2.6390444564750325E-2</v>
      </c>
      <c r="AC196" s="1">
        <f t="shared" si="58"/>
        <v>-3.0389666601579888E-3</v>
      </c>
      <c r="AD196" s="1">
        <f t="shared" si="59"/>
        <v>-2.0569275099494924E-2</v>
      </c>
      <c r="AE196" s="1">
        <f t="shared" si="60"/>
        <v>-1.745979420262618E-2</v>
      </c>
      <c r="AF196" s="1">
        <f t="shared" si="61"/>
        <v>-2.6680021536720562E-2</v>
      </c>
      <c r="AG196" s="1">
        <f t="shared" si="62"/>
        <v>2.0501902871824303E-2</v>
      </c>
      <c r="AH196" s="1">
        <f t="shared" si="63"/>
        <v>-3.9354535132006402E-2</v>
      </c>
      <c r="AW196" s="28"/>
    </row>
    <row r="197" spans="1:49" x14ac:dyDescent="0.3">
      <c r="A197" s="120">
        <v>45572</v>
      </c>
      <c r="B197" s="121" t="s">
        <v>1751</v>
      </c>
      <c r="C197" s="121" t="s">
        <v>1752</v>
      </c>
      <c r="D197" s="121" t="s">
        <v>1753</v>
      </c>
      <c r="E197" s="121" t="s">
        <v>1754</v>
      </c>
      <c r="F197" s="121" t="s">
        <v>1755</v>
      </c>
      <c r="G197" s="1">
        <v>583.789306640625</v>
      </c>
      <c r="H197" s="121" t="s">
        <v>1756</v>
      </c>
      <c r="I197" s="121" t="s">
        <v>1757</v>
      </c>
      <c r="J197" s="121" t="s">
        <v>1758</v>
      </c>
      <c r="K197" s="121" t="s">
        <v>1759</v>
      </c>
      <c r="M197" s="122">
        <v>45572</v>
      </c>
      <c r="N197" s="1">
        <f t="shared" si="44"/>
        <v>1.8236724872879504E-2</v>
      </c>
      <c r="O197" s="1">
        <f t="shared" si="45"/>
        <v>1.0646764375701251E-2</v>
      </c>
      <c r="P197" s="1">
        <f t="shared" si="46"/>
        <v>1.0563468311112607E-2</v>
      </c>
      <c r="Q197" s="1">
        <f t="shared" si="47"/>
        <v>8.5533321944246139E-3</v>
      </c>
      <c r="R197" s="1">
        <f t="shared" si="48"/>
        <v>-8.5366484717764788E-4</v>
      </c>
      <c r="S197" s="1">
        <f t="shared" si="49"/>
        <v>1.37731624028279E-2</v>
      </c>
      <c r="T197" s="1">
        <f t="shared" si="50"/>
        <v>1.2544841540659879E-2</v>
      </c>
      <c r="U197" s="1">
        <f t="shared" si="51"/>
        <v>2.7873274119757829E-2</v>
      </c>
      <c r="V197" s="1">
        <f t="shared" si="52"/>
        <v>3.9681336941940509E-2</v>
      </c>
      <c r="W197" s="1">
        <f t="shared" si="53"/>
        <v>1.5124010919586624E-2</v>
      </c>
      <c r="Y197" s="1">
        <f t="shared" si="54"/>
        <v>1.6571765740572474E-2</v>
      </c>
      <c r="Z197" s="1">
        <f t="shared" si="55"/>
        <v>8.9818052433942204E-3</v>
      </c>
      <c r="AA197" s="1">
        <f t="shared" si="56"/>
        <v>8.8985091788055769E-3</v>
      </c>
      <c r="AB197" s="1">
        <f t="shared" si="57"/>
        <v>6.8883730621175825E-3</v>
      </c>
      <c r="AC197" s="1">
        <f t="shared" si="58"/>
        <v>-2.5186239794846789E-3</v>
      </c>
      <c r="AD197" s="1">
        <f t="shared" si="59"/>
        <v>1.2108203270520869E-2</v>
      </c>
      <c r="AE197" s="1">
        <f t="shared" si="60"/>
        <v>1.0879882408352849E-2</v>
      </c>
      <c r="AF197" s="1">
        <f t="shared" si="61"/>
        <v>2.6208314987450798E-2</v>
      </c>
      <c r="AG197" s="1">
        <f t="shared" si="62"/>
        <v>3.8016377809633475E-2</v>
      </c>
      <c r="AH197" s="1">
        <f t="shared" si="63"/>
        <v>1.3459051787279594E-2</v>
      </c>
      <c r="AW197" s="28"/>
    </row>
    <row r="198" spans="1:49" x14ac:dyDescent="0.3">
      <c r="A198" s="120">
        <v>45573</v>
      </c>
      <c r="B198" s="121" t="s">
        <v>1760</v>
      </c>
      <c r="C198" s="121" t="s">
        <v>1761</v>
      </c>
      <c r="D198" s="121" t="s">
        <v>1762</v>
      </c>
      <c r="E198" s="121" t="s">
        <v>1763</v>
      </c>
      <c r="F198" s="121" t="s">
        <v>1764</v>
      </c>
      <c r="G198" s="121" t="s">
        <v>1765</v>
      </c>
      <c r="H198" s="121" t="s">
        <v>1766</v>
      </c>
      <c r="I198" s="1">
        <v>721.760009765625</v>
      </c>
      <c r="J198" s="121" t="s">
        <v>1767</v>
      </c>
      <c r="K198" s="1">
        <v>244.5</v>
      </c>
      <c r="M198" s="122">
        <v>45573</v>
      </c>
      <c r="N198" s="1">
        <f t="shared" ref="N198:N254" si="64">LN(B199/B198)</f>
        <v>1.6560514759523887E-2</v>
      </c>
      <c r="O198" s="1">
        <f t="shared" ref="O198:O254" si="65">LN(C199/C198)</f>
        <v>-1.0354340320552619E-2</v>
      </c>
      <c r="P198" s="1">
        <f t="shared" ref="P198:P254" si="66">LN(D199/D198)</f>
        <v>1.3319379012841135E-2</v>
      </c>
      <c r="Q198" s="1">
        <f t="shared" ref="Q198:Q254" si="67">LN(E199/E198)</f>
        <v>-1.5449066378690547E-2</v>
      </c>
      <c r="R198" s="1">
        <f t="shared" ref="R198:R254" si="68">LN(F199/F198)</f>
        <v>1.2589454787331859E-2</v>
      </c>
      <c r="S198" s="1">
        <f t="shared" ref="S198:S254" si="69">LN(G199/G198)</f>
        <v>-4.0223286557854697E-3</v>
      </c>
      <c r="T198" s="1">
        <f t="shared" ref="T198:T254" si="70">LN(H199/H198)</f>
        <v>6.6091751817804311E-3</v>
      </c>
      <c r="U198" s="1">
        <f t="shared" ref="U198:U254" si="71">LN(I199/I198)</f>
        <v>7.825077225938077E-3</v>
      </c>
      <c r="V198" s="1">
        <f t="shared" ref="V198:V254" si="72">LN(J199/J198)</f>
        <v>-1.8076251370876474E-3</v>
      </c>
      <c r="W198" s="1">
        <f t="shared" ref="W198:W254" si="73">LN(K199/K198)</f>
        <v>-1.4210915403030024E-2</v>
      </c>
      <c r="Y198" s="1">
        <f t="shared" ref="Y198:Y255" si="74">N198-$Y$3</f>
        <v>1.4895555627216856E-2</v>
      </c>
      <c r="Z198" s="1">
        <f t="shared" ref="Z198:Z254" si="75">O198-$Y$3</f>
        <v>-1.201929945285965E-2</v>
      </c>
      <c r="AA198" s="1">
        <f t="shared" ref="AA198:AA254" si="76">P198-$Y$3</f>
        <v>1.1654419880534105E-2</v>
      </c>
      <c r="AB198" s="1">
        <f t="shared" ref="AB198:AB254" si="77">Q198-$Y$3</f>
        <v>-1.7114025510997579E-2</v>
      </c>
      <c r="AC198" s="1">
        <f t="shared" ref="AC198:AC254" si="78">R198-$Y$3</f>
        <v>1.0924495655024829E-2</v>
      </c>
      <c r="AD198" s="1">
        <f t="shared" ref="AD198:AD254" si="79">S198-$Y$3</f>
        <v>-5.6872877880925011E-3</v>
      </c>
      <c r="AE198" s="1">
        <f t="shared" ref="AE198:AE254" si="80">T198-$Y$3</f>
        <v>4.9442160494733997E-3</v>
      </c>
      <c r="AF198" s="1">
        <f t="shared" ref="AF198:AF254" si="81">U198-$Y$3</f>
        <v>6.1601180936310456E-3</v>
      </c>
      <c r="AG198" s="1">
        <f t="shared" ref="AG198:AG254" si="82">V198-$Y$3</f>
        <v>-3.4725842693946784E-3</v>
      </c>
      <c r="AH198" s="1">
        <f t="shared" ref="AH198:AH254" si="83">W198-$Y$3</f>
        <v>-1.5875874535337054E-2</v>
      </c>
      <c r="AW198" s="28"/>
    </row>
    <row r="199" spans="1:49" x14ac:dyDescent="0.3">
      <c r="A199" s="120">
        <v>45574</v>
      </c>
      <c r="B199" s="121" t="s">
        <v>1768</v>
      </c>
      <c r="C199" s="121" t="s">
        <v>1769</v>
      </c>
      <c r="D199" s="121" t="s">
        <v>1770</v>
      </c>
      <c r="E199" s="121" t="s">
        <v>1771</v>
      </c>
      <c r="F199" s="121" t="s">
        <v>1772</v>
      </c>
      <c r="G199" s="121" t="s">
        <v>1773</v>
      </c>
      <c r="H199" s="121" t="s">
        <v>1774</v>
      </c>
      <c r="I199" s="121" t="s">
        <v>1775</v>
      </c>
      <c r="J199" s="1">
        <v>132.628662109375</v>
      </c>
      <c r="K199" s="121" t="s">
        <v>1776</v>
      </c>
      <c r="M199" s="122">
        <v>45574</v>
      </c>
      <c r="N199" s="1">
        <f t="shared" si="64"/>
        <v>-2.1807095655134246E-3</v>
      </c>
      <c r="O199" s="1">
        <f t="shared" si="65"/>
        <v>-4.0817191400822898E-2</v>
      </c>
      <c r="P199" s="1">
        <f t="shared" si="66"/>
        <v>7.9608604990488094E-3</v>
      </c>
      <c r="Q199" s="1">
        <f t="shared" si="67"/>
        <v>1.3582907739526264E-3</v>
      </c>
      <c r="R199" s="1">
        <f t="shared" si="68"/>
        <v>-2.7213760109719817E-3</v>
      </c>
      <c r="S199" s="1">
        <f t="shared" si="69"/>
        <v>-1.1376756874480944E-2</v>
      </c>
      <c r="T199" s="1">
        <f t="shared" si="70"/>
        <v>-3.8881531280262117E-3</v>
      </c>
      <c r="U199" s="1">
        <f t="shared" si="71"/>
        <v>3.9239210255427445E-3</v>
      </c>
      <c r="V199" s="1">
        <f t="shared" si="72"/>
        <v>1.6152300339601276E-2</v>
      </c>
      <c r="W199" s="1">
        <f t="shared" si="73"/>
        <v>-9.503630132407714E-3</v>
      </c>
      <c r="Y199" s="1">
        <f t="shared" si="74"/>
        <v>-3.8456686978204559E-3</v>
      </c>
      <c r="Z199" s="1">
        <f t="shared" si="75"/>
        <v>-4.2482150533129932E-2</v>
      </c>
      <c r="AA199" s="1">
        <f t="shared" si="76"/>
        <v>6.295901366741778E-3</v>
      </c>
      <c r="AB199" s="1">
        <f t="shared" si="77"/>
        <v>-3.066683583544047E-4</v>
      </c>
      <c r="AC199" s="1">
        <f t="shared" si="78"/>
        <v>-4.3863351432790127E-3</v>
      </c>
      <c r="AD199" s="1">
        <f t="shared" si="79"/>
        <v>-1.3041716006787975E-2</v>
      </c>
      <c r="AE199" s="1">
        <f t="shared" si="80"/>
        <v>-5.5531122603332426E-3</v>
      </c>
      <c r="AF199" s="1">
        <f t="shared" si="81"/>
        <v>2.2589618932357131E-3</v>
      </c>
      <c r="AG199" s="1">
        <f t="shared" si="82"/>
        <v>1.4487341207294245E-2</v>
      </c>
      <c r="AH199" s="1">
        <f t="shared" si="83"/>
        <v>-1.1168589264714745E-2</v>
      </c>
      <c r="AW199" s="28"/>
    </row>
    <row r="200" spans="1:49" x14ac:dyDescent="0.3">
      <c r="A200" s="120">
        <v>45575</v>
      </c>
      <c r="B200" s="121" t="s">
        <v>1777</v>
      </c>
      <c r="C200" s="121" t="s">
        <v>1778</v>
      </c>
      <c r="D200" s="121" t="s">
        <v>1779</v>
      </c>
      <c r="E200" s="121" t="s">
        <v>1780</v>
      </c>
      <c r="F200" s="121" t="s">
        <v>1781</v>
      </c>
      <c r="G200" s="121" t="s">
        <v>1782</v>
      </c>
      <c r="H200" s="121" t="s">
        <v>1783</v>
      </c>
      <c r="I200" s="121" t="s">
        <v>1784</v>
      </c>
      <c r="J200" s="121" t="s">
        <v>1785</v>
      </c>
      <c r="K200" s="121" t="s">
        <v>1786</v>
      </c>
      <c r="M200" s="122">
        <v>45575</v>
      </c>
      <c r="N200" s="1">
        <f t="shared" si="64"/>
        <v>-6.5265861742235228E-3</v>
      </c>
      <c r="O200" s="1">
        <f t="shared" si="65"/>
        <v>2.2345657103668617E-2</v>
      </c>
      <c r="P200" s="1">
        <f t="shared" si="66"/>
        <v>1.1559046433522764E-2</v>
      </c>
      <c r="Q200" s="1">
        <f t="shared" si="67"/>
        <v>7.1314342909536274E-3</v>
      </c>
      <c r="R200" s="1">
        <f t="shared" si="68"/>
        <v>4.3442120891530697E-2</v>
      </c>
      <c r="S200" s="1">
        <f t="shared" si="69"/>
        <v>1.0428025530700614E-2</v>
      </c>
      <c r="T200" s="1">
        <f t="shared" si="70"/>
        <v>1.1537122152047226E-3</v>
      </c>
      <c r="U200" s="1">
        <f t="shared" si="71"/>
        <v>-1.0322992305050786E-2</v>
      </c>
      <c r="V200" s="1">
        <f t="shared" si="72"/>
        <v>-7.4152402686541058E-5</v>
      </c>
      <c r="W200" s="1">
        <f t="shared" si="73"/>
        <v>-9.1923538868888932E-2</v>
      </c>
      <c r="Y200" s="1">
        <f t="shared" si="74"/>
        <v>-8.1915453065305541E-3</v>
      </c>
      <c r="Z200" s="1">
        <f t="shared" si="75"/>
        <v>2.0680697971361586E-2</v>
      </c>
      <c r="AA200" s="1">
        <f t="shared" si="76"/>
        <v>9.894087301215734E-3</v>
      </c>
      <c r="AB200" s="1">
        <f t="shared" si="77"/>
        <v>5.466475158646596E-3</v>
      </c>
      <c r="AC200" s="1">
        <f t="shared" si="78"/>
        <v>4.1777161759223663E-2</v>
      </c>
      <c r="AD200" s="1">
        <f t="shared" si="79"/>
        <v>8.7630663983935837E-3</v>
      </c>
      <c r="AE200" s="1">
        <f t="shared" si="80"/>
        <v>-5.1124691710230851E-4</v>
      </c>
      <c r="AF200" s="1">
        <f t="shared" si="81"/>
        <v>-1.1987951437357817E-2</v>
      </c>
      <c r="AG200" s="1">
        <f t="shared" si="82"/>
        <v>-1.7391115349935722E-3</v>
      </c>
      <c r="AH200" s="1">
        <f t="shared" si="83"/>
        <v>-9.3588498001195966E-2</v>
      </c>
      <c r="AW200" s="28"/>
    </row>
    <row r="201" spans="1:49" x14ac:dyDescent="0.3">
      <c r="A201" s="120">
        <v>45576</v>
      </c>
      <c r="B201" s="1">
        <v>227.05029296875</v>
      </c>
      <c r="C201" s="121" t="s">
        <v>1787</v>
      </c>
      <c r="D201" s="121" t="s">
        <v>1788</v>
      </c>
      <c r="E201" s="121" t="s">
        <v>1789</v>
      </c>
      <c r="F201" s="121" t="s">
        <v>1790</v>
      </c>
      <c r="G201" s="121" t="s">
        <v>1791</v>
      </c>
      <c r="H201" s="121" t="s">
        <v>1792</v>
      </c>
      <c r="I201" s="121" t="s">
        <v>1793</v>
      </c>
      <c r="J201" s="1">
        <v>134.7783203125</v>
      </c>
      <c r="K201" s="121" t="s">
        <v>1794</v>
      </c>
      <c r="M201" s="122">
        <v>45576</v>
      </c>
      <c r="N201" s="1">
        <f t="shared" si="64"/>
        <v>1.6345554726722448E-2</v>
      </c>
      <c r="O201" s="1">
        <f t="shared" si="65"/>
        <v>-1.5728473408749603E-2</v>
      </c>
      <c r="P201" s="1">
        <f t="shared" si="66"/>
        <v>-6.8020989019685956E-3</v>
      </c>
      <c r="Q201" s="1">
        <f t="shared" si="67"/>
        <v>1.0481569547822823E-2</v>
      </c>
      <c r="R201" s="1">
        <f t="shared" si="68"/>
        <v>-3.6505156291634418E-3</v>
      </c>
      <c r="S201" s="1">
        <f t="shared" si="69"/>
        <v>7.9621195460014395E-4</v>
      </c>
      <c r="T201" s="1">
        <f t="shared" si="70"/>
        <v>6.7507519367593326E-3</v>
      </c>
      <c r="U201" s="1">
        <f t="shared" si="71"/>
        <v>-1.3637272722513784E-2</v>
      </c>
      <c r="V201" s="1">
        <f t="shared" si="72"/>
        <v>2.3968686906548662E-2</v>
      </c>
      <c r="W201" s="1">
        <f t="shared" si="73"/>
        <v>6.2248488693656479E-3</v>
      </c>
      <c r="Y201" s="1">
        <f t="shared" si="74"/>
        <v>1.4680595594415417E-2</v>
      </c>
      <c r="Z201" s="1">
        <f t="shared" si="75"/>
        <v>-1.7393432541056634E-2</v>
      </c>
      <c r="AA201" s="1">
        <f t="shared" si="76"/>
        <v>-8.467058034275627E-3</v>
      </c>
      <c r="AB201" s="1">
        <f t="shared" si="77"/>
        <v>8.8166104155157927E-3</v>
      </c>
      <c r="AC201" s="1">
        <f t="shared" si="78"/>
        <v>-5.3154747614704732E-3</v>
      </c>
      <c r="AD201" s="1">
        <f t="shared" si="79"/>
        <v>-8.6874717770688719E-4</v>
      </c>
      <c r="AE201" s="1">
        <f t="shared" si="80"/>
        <v>5.0857928044523012E-3</v>
      </c>
      <c r="AF201" s="1">
        <f t="shared" si="81"/>
        <v>-1.5302231854820814E-2</v>
      </c>
      <c r="AG201" s="1">
        <f t="shared" si="82"/>
        <v>2.2303727774241631E-2</v>
      </c>
      <c r="AH201" s="1">
        <f t="shared" si="83"/>
        <v>4.5598897370586165E-3</v>
      </c>
      <c r="AW201" s="28"/>
    </row>
    <row r="202" spans="1:49" x14ac:dyDescent="0.3">
      <c r="A202" s="120">
        <v>45579</v>
      </c>
      <c r="B202" s="121" t="s">
        <v>1795</v>
      </c>
      <c r="C202" s="121" t="s">
        <v>1796</v>
      </c>
      <c r="D202" s="121" t="s">
        <v>1797</v>
      </c>
      <c r="E202" s="121" t="s">
        <v>1798</v>
      </c>
      <c r="F202" s="121" t="s">
        <v>1799</v>
      </c>
      <c r="G202" s="1">
        <v>589.419677734375</v>
      </c>
      <c r="H202" s="121" t="s">
        <v>1800</v>
      </c>
      <c r="I202" s="1">
        <v>713</v>
      </c>
      <c r="J202" s="121" t="s">
        <v>1801</v>
      </c>
      <c r="K202" s="121" t="s">
        <v>1802</v>
      </c>
      <c r="M202" s="122">
        <v>45579</v>
      </c>
      <c r="N202" s="1">
        <f t="shared" si="64"/>
        <v>1.0964327826691865E-2</v>
      </c>
      <c r="O202" s="1">
        <f t="shared" si="65"/>
        <v>-5.3630351118456009E-2</v>
      </c>
      <c r="P202" s="1">
        <f t="shared" si="66"/>
        <v>7.9955848398958725E-4</v>
      </c>
      <c r="Q202" s="1">
        <f t="shared" si="67"/>
        <v>3.0264684990862238E-3</v>
      </c>
      <c r="R202" s="1">
        <f t="shared" si="68"/>
        <v>4.1003512873886211E-3</v>
      </c>
      <c r="S202" s="1">
        <f t="shared" si="69"/>
        <v>-7.0535675820965092E-3</v>
      </c>
      <c r="T202" s="1">
        <f t="shared" si="70"/>
        <v>-9.5480244874100349E-4</v>
      </c>
      <c r="U202" s="1">
        <f t="shared" si="71"/>
        <v>-9.8945395996587245E-3</v>
      </c>
      <c r="V202" s="1">
        <f t="shared" si="72"/>
        <v>-4.7993811779195629E-2</v>
      </c>
      <c r="W202" s="1">
        <f t="shared" si="73"/>
        <v>1.8690482583772685E-3</v>
      </c>
      <c r="Y202" s="1">
        <f t="shared" si="74"/>
        <v>9.2993686943848349E-3</v>
      </c>
      <c r="Z202" s="1">
        <f t="shared" si="75"/>
        <v>-5.5295310250763043E-2</v>
      </c>
      <c r="AA202" s="1">
        <f t="shared" si="76"/>
        <v>-8.6540064831744389E-4</v>
      </c>
      <c r="AB202" s="1">
        <f t="shared" si="77"/>
        <v>1.3615093667791926E-3</v>
      </c>
      <c r="AC202" s="1">
        <f t="shared" si="78"/>
        <v>2.4353921550815897E-3</v>
      </c>
      <c r="AD202" s="1">
        <f t="shared" si="79"/>
        <v>-8.7185267144035405E-3</v>
      </c>
      <c r="AE202" s="1">
        <f t="shared" si="80"/>
        <v>-2.6197615810480347E-3</v>
      </c>
      <c r="AF202" s="1">
        <f t="shared" si="81"/>
        <v>-1.1559498731965755E-2</v>
      </c>
      <c r="AG202" s="1">
        <f t="shared" si="82"/>
        <v>-4.9658770911502663E-2</v>
      </c>
      <c r="AH202" s="1">
        <f t="shared" si="83"/>
        <v>2.0408912607023733E-4</v>
      </c>
      <c r="AW202" s="28"/>
    </row>
    <row r="203" spans="1:49" x14ac:dyDescent="0.3">
      <c r="A203" s="120">
        <v>45580</v>
      </c>
      <c r="B203" s="121" t="s">
        <v>1803</v>
      </c>
      <c r="C203" s="121" t="s">
        <v>1804</v>
      </c>
      <c r="D203" s="121" t="s">
        <v>1805</v>
      </c>
      <c r="E203" s="121" t="s">
        <v>1806</v>
      </c>
      <c r="F203" s="121" t="s">
        <v>1807</v>
      </c>
      <c r="G203" s="121" t="s">
        <v>1808</v>
      </c>
      <c r="H203" s="121" t="s">
        <v>1809</v>
      </c>
      <c r="I203" s="1">
        <v>705.97998046875</v>
      </c>
      <c r="J203" s="121" t="s">
        <v>1810</v>
      </c>
      <c r="K203" s="121" t="s">
        <v>1811</v>
      </c>
      <c r="M203" s="122">
        <v>45580</v>
      </c>
      <c r="N203" s="1">
        <f t="shared" si="64"/>
        <v>-8.8912642336274657E-3</v>
      </c>
      <c r="O203" s="1">
        <f t="shared" si="65"/>
        <v>-3.2611500582297062E-3</v>
      </c>
      <c r="P203" s="1">
        <f t="shared" si="66"/>
        <v>-4.2714734594335351E-3</v>
      </c>
      <c r="Q203" s="1">
        <f t="shared" si="67"/>
        <v>-1.8148928570607538E-3</v>
      </c>
      <c r="R203" s="1">
        <f t="shared" si="68"/>
        <v>5.6050126879358649E-3</v>
      </c>
      <c r="S203" s="1">
        <f t="shared" si="69"/>
        <v>-1.6302271347668509E-2</v>
      </c>
      <c r="T203" s="1">
        <f t="shared" si="70"/>
        <v>-6.2765072976661831E-3</v>
      </c>
      <c r="U203" s="1">
        <f t="shared" si="71"/>
        <v>-5.6534767888260697E-3</v>
      </c>
      <c r="V203" s="1">
        <f t="shared" si="72"/>
        <v>3.0826818729230234E-2</v>
      </c>
      <c r="W203" s="1">
        <f t="shared" si="73"/>
        <v>7.9836870885697277E-3</v>
      </c>
      <c r="Y203" s="1">
        <f t="shared" si="74"/>
        <v>-1.0556223365934496E-2</v>
      </c>
      <c r="Z203" s="1">
        <f t="shared" si="75"/>
        <v>-4.9261091905367371E-3</v>
      </c>
      <c r="AA203" s="1">
        <f t="shared" si="76"/>
        <v>-5.9364325917405664E-3</v>
      </c>
      <c r="AB203" s="1">
        <f t="shared" si="77"/>
        <v>-3.4798519893677847E-3</v>
      </c>
      <c r="AC203" s="1">
        <f t="shared" si="78"/>
        <v>3.9400535556288335E-3</v>
      </c>
      <c r="AD203" s="1">
        <f t="shared" si="79"/>
        <v>-1.7967230479975539E-2</v>
      </c>
      <c r="AE203" s="1">
        <f t="shared" si="80"/>
        <v>-7.9414664299732145E-3</v>
      </c>
      <c r="AF203" s="1">
        <f t="shared" si="81"/>
        <v>-7.3184359211331011E-3</v>
      </c>
      <c r="AG203" s="1">
        <f t="shared" si="82"/>
        <v>2.9161859596923204E-2</v>
      </c>
      <c r="AH203" s="1">
        <f t="shared" si="83"/>
        <v>6.3187279562626963E-3</v>
      </c>
      <c r="AW203" s="28"/>
    </row>
    <row r="204" spans="1:49" x14ac:dyDescent="0.3">
      <c r="A204" s="120">
        <v>45581</v>
      </c>
      <c r="B204" s="1">
        <v>231.27099609375</v>
      </c>
      <c r="C204" s="121" t="s">
        <v>1812</v>
      </c>
      <c r="D204" s="121" t="s">
        <v>1064</v>
      </c>
      <c r="E204" s="121" t="s">
        <v>1813</v>
      </c>
      <c r="F204" s="121" t="s">
        <v>1814</v>
      </c>
      <c r="G204" s="121" t="s">
        <v>1815</v>
      </c>
      <c r="H204" s="121" t="s">
        <v>1816</v>
      </c>
      <c r="I204" s="1">
        <v>702</v>
      </c>
      <c r="J204" s="121" t="s">
        <v>1817</v>
      </c>
      <c r="K204" s="121" t="s">
        <v>1818</v>
      </c>
      <c r="M204" s="122">
        <v>45581</v>
      </c>
      <c r="N204" s="1">
        <f t="shared" si="64"/>
        <v>1.5950640067365655E-3</v>
      </c>
      <c r="O204" s="1">
        <f t="shared" si="65"/>
        <v>7.6826378906724561E-4</v>
      </c>
      <c r="P204" s="1">
        <f t="shared" si="66"/>
        <v>3.4186208860750738E-3</v>
      </c>
      <c r="Q204" s="1">
        <f t="shared" si="67"/>
        <v>-1.3594036489434934E-2</v>
      </c>
      <c r="R204" s="1">
        <f t="shared" si="68"/>
        <v>3.4816505883620515E-3</v>
      </c>
      <c r="S204" s="1">
        <f t="shared" si="69"/>
        <v>2.4281253555579859E-4</v>
      </c>
      <c r="T204" s="1">
        <f t="shared" si="70"/>
        <v>1.4409076493886715E-3</v>
      </c>
      <c r="U204" s="1">
        <f t="shared" si="71"/>
        <v>-2.0653380961478226E-2</v>
      </c>
      <c r="V204" s="1">
        <f t="shared" si="72"/>
        <v>8.8759284115674849E-3</v>
      </c>
      <c r="W204" s="1">
        <f t="shared" si="73"/>
        <v>-1.9899714413265149E-3</v>
      </c>
      <c r="Y204" s="1">
        <f t="shared" si="74"/>
        <v>-6.9895125570465641E-5</v>
      </c>
      <c r="Z204" s="1">
        <f t="shared" si="75"/>
        <v>-8.9669534323978553E-4</v>
      </c>
      <c r="AA204" s="1">
        <f t="shared" si="76"/>
        <v>1.7536617537680427E-3</v>
      </c>
      <c r="AB204" s="1">
        <f t="shared" si="77"/>
        <v>-1.5258995621741964E-2</v>
      </c>
      <c r="AC204" s="1">
        <f t="shared" si="78"/>
        <v>1.8166914560550204E-3</v>
      </c>
      <c r="AD204" s="1">
        <f t="shared" si="79"/>
        <v>-1.4221465967512326E-3</v>
      </c>
      <c r="AE204" s="1">
        <f t="shared" si="80"/>
        <v>-2.2405148291835967E-4</v>
      </c>
      <c r="AF204" s="1">
        <f t="shared" si="81"/>
        <v>-2.2318340093785256E-2</v>
      </c>
      <c r="AG204" s="1">
        <f t="shared" si="82"/>
        <v>7.2109692792604535E-3</v>
      </c>
      <c r="AH204" s="1">
        <f t="shared" si="83"/>
        <v>-3.6549305736335459E-3</v>
      </c>
      <c r="AW204" s="28"/>
    </row>
    <row r="205" spans="1:49" x14ac:dyDescent="0.3">
      <c r="A205" s="120">
        <v>45582</v>
      </c>
      <c r="B205" s="121" t="s">
        <v>1819</v>
      </c>
      <c r="C205" s="1">
        <v>156.25</v>
      </c>
      <c r="D205" s="121" t="s">
        <v>1820</v>
      </c>
      <c r="E205" s="121" t="s">
        <v>1821</v>
      </c>
      <c r="F205" s="121" t="s">
        <v>1822</v>
      </c>
      <c r="G205" s="1">
        <v>575.95263671875</v>
      </c>
      <c r="H205" s="121" t="s">
        <v>1823</v>
      </c>
      <c r="I205" s="121" t="s">
        <v>1824</v>
      </c>
      <c r="J205" s="121" t="s">
        <v>1825</v>
      </c>
      <c r="K205" s="121" t="s">
        <v>1826</v>
      </c>
      <c r="M205" s="122">
        <v>45582</v>
      </c>
      <c r="N205" s="1">
        <f t="shared" si="64"/>
        <v>1.2201837197696734E-2</v>
      </c>
      <c r="O205" s="1">
        <f t="shared" si="65"/>
        <v>-1.7935997262523854E-3</v>
      </c>
      <c r="P205" s="1">
        <f t="shared" si="66"/>
        <v>7.7553065703926853E-3</v>
      </c>
      <c r="Q205" s="1">
        <f t="shared" si="67"/>
        <v>3.0030089187788583E-3</v>
      </c>
      <c r="R205" s="1">
        <f t="shared" si="68"/>
        <v>4.2241789848955257E-3</v>
      </c>
      <c r="S205" s="1">
        <f t="shared" si="69"/>
        <v>-7.9776139144672065E-4</v>
      </c>
      <c r="T205" s="1">
        <f t="shared" si="70"/>
        <v>3.4494964523025745E-3</v>
      </c>
      <c r="U205" s="1">
        <f t="shared" si="71"/>
        <v>0.10514379585472416</v>
      </c>
      <c r="V205" s="1">
        <f t="shared" si="72"/>
        <v>7.783812233971287E-3</v>
      </c>
      <c r="W205" s="1">
        <f t="shared" si="73"/>
        <v>-8.6053785052578552E-4</v>
      </c>
      <c r="Y205" s="1">
        <f t="shared" si="74"/>
        <v>1.0536878065389704E-2</v>
      </c>
      <c r="Z205" s="1">
        <f t="shared" si="75"/>
        <v>-3.4585588585594167E-3</v>
      </c>
      <c r="AA205" s="1">
        <f t="shared" si="76"/>
        <v>6.090347438085654E-3</v>
      </c>
      <c r="AB205" s="1">
        <f t="shared" si="77"/>
        <v>1.3380497864718271E-3</v>
      </c>
      <c r="AC205" s="1">
        <f t="shared" si="78"/>
        <v>2.5592198525884943E-3</v>
      </c>
      <c r="AD205" s="1">
        <f t="shared" si="79"/>
        <v>-2.462720523753752E-3</v>
      </c>
      <c r="AE205" s="1">
        <f t="shared" si="80"/>
        <v>1.7845373199955434E-3</v>
      </c>
      <c r="AF205" s="1">
        <f t="shared" si="81"/>
        <v>0.10347883672241713</v>
      </c>
      <c r="AG205" s="1">
        <f t="shared" si="82"/>
        <v>6.1188531016642556E-3</v>
      </c>
      <c r="AH205" s="1">
        <f t="shared" si="83"/>
        <v>-2.5254969828328168E-3</v>
      </c>
      <c r="AW205" s="28"/>
    </row>
    <row r="206" spans="1:49" x14ac:dyDescent="0.3">
      <c r="A206" s="120">
        <v>45583</v>
      </c>
      <c r="B206" s="121" t="s">
        <v>1827</v>
      </c>
      <c r="C206" s="121" t="s">
        <v>1828</v>
      </c>
      <c r="D206" s="121" t="s">
        <v>1829</v>
      </c>
      <c r="E206" s="121" t="s">
        <v>1830</v>
      </c>
      <c r="F206" s="121" t="s">
        <v>1831</v>
      </c>
      <c r="G206" s="121" t="s">
        <v>1723</v>
      </c>
      <c r="H206" s="121" t="s">
        <v>1832</v>
      </c>
      <c r="I206" s="121" t="s">
        <v>1833</v>
      </c>
      <c r="J206" s="121" t="s">
        <v>1834</v>
      </c>
      <c r="K206" s="121" t="s">
        <v>1835</v>
      </c>
      <c r="M206" s="122">
        <v>45583</v>
      </c>
      <c r="N206" s="1">
        <f t="shared" si="64"/>
        <v>6.278105531024359E-3</v>
      </c>
      <c r="O206" s="1">
        <f t="shared" si="65"/>
        <v>1.2298193717024473E-2</v>
      </c>
      <c r="P206" s="1">
        <f t="shared" si="66"/>
        <v>4.2322292512227008E-4</v>
      </c>
      <c r="Q206" s="1">
        <f t="shared" si="67"/>
        <v>3.9696210867144963E-3</v>
      </c>
      <c r="R206" s="1">
        <f t="shared" si="68"/>
        <v>-1.0571706354253045E-2</v>
      </c>
      <c r="S206" s="1">
        <f t="shared" si="69"/>
        <v>-2.2750715244694605E-3</v>
      </c>
      <c r="T206" s="1">
        <f t="shared" si="70"/>
        <v>1.4816610578691574E-3</v>
      </c>
      <c r="U206" s="1">
        <f t="shared" si="71"/>
        <v>1.0651410056717313E-2</v>
      </c>
      <c r="V206" s="1">
        <f t="shared" si="72"/>
        <v>4.0543763239858067E-2</v>
      </c>
      <c r="W206" s="1">
        <f t="shared" si="73"/>
        <v>-8.4177079091227163E-3</v>
      </c>
      <c r="Y206" s="1">
        <f t="shared" si="74"/>
        <v>4.6131463987173276E-3</v>
      </c>
      <c r="Z206" s="1">
        <f t="shared" si="75"/>
        <v>1.0633234584717443E-2</v>
      </c>
      <c r="AA206" s="1">
        <f t="shared" si="76"/>
        <v>-1.2417362071847611E-3</v>
      </c>
      <c r="AB206" s="1">
        <f t="shared" si="77"/>
        <v>2.3046619544074649E-3</v>
      </c>
      <c r="AC206" s="1">
        <f t="shared" si="78"/>
        <v>-1.2236665486560076E-2</v>
      </c>
      <c r="AD206" s="1">
        <f t="shared" si="79"/>
        <v>-3.9400306567764914E-3</v>
      </c>
      <c r="AE206" s="1">
        <f t="shared" si="80"/>
        <v>-1.8329807443787376E-4</v>
      </c>
      <c r="AF206" s="1">
        <f t="shared" si="81"/>
        <v>8.9864509244102827E-3</v>
      </c>
      <c r="AG206" s="1">
        <f t="shared" si="82"/>
        <v>3.8878804107551033E-2</v>
      </c>
      <c r="AH206" s="1">
        <f t="shared" si="83"/>
        <v>-1.0082667041429747E-2</v>
      </c>
      <c r="AW206" s="28"/>
    </row>
    <row r="207" spans="1:49" x14ac:dyDescent="0.3">
      <c r="A207" s="120">
        <v>45586</v>
      </c>
      <c r="B207" s="121" t="s">
        <v>1836</v>
      </c>
      <c r="C207" s="121" t="s">
        <v>1837</v>
      </c>
      <c r="D207" s="121" t="s">
        <v>1838</v>
      </c>
      <c r="E207" s="121" t="s">
        <v>1839</v>
      </c>
      <c r="F207" s="121" t="s">
        <v>1840</v>
      </c>
      <c r="G207" s="1">
        <v>574.185546875</v>
      </c>
      <c r="H207" s="121" t="s">
        <v>1841</v>
      </c>
      <c r="I207" s="121" t="s">
        <v>1842</v>
      </c>
      <c r="J207" s="121" t="s">
        <v>1843</v>
      </c>
      <c r="K207" s="121" t="s">
        <v>1844</v>
      </c>
      <c r="M207" s="122">
        <v>45586</v>
      </c>
      <c r="N207" s="1">
        <f t="shared" si="64"/>
        <v>-2.6252233019724361E-3</v>
      </c>
      <c r="O207" s="1">
        <f t="shared" si="65"/>
        <v>-2.4425059079566873E-2</v>
      </c>
      <c r="P207" s="1">
        <f t="shared" si="66"/>
        <v>3.3265052557175036E-3</v>
      </c>
      <c r="Q207" s="1">
        <f t="shared" si="67"/>
        <v>6.5003705215257454E-3</v>
      </c>
      <c r="R207" s="1">
        <f t="shared" si="68"/>
        <v>5.0098388266463442E-3</v>
      </c>
      <c r="S207" s="1">
        <f t="shared" si="69"/>
        <v>1.1839549965305366E-2</v>
      </c>
      <c r="T207" s="1">
        <f t="shared" si="70"/>
        <v>2.0631965545961063E-2</v>
      </c>
      <c r="U207" s="1">
        <f t="shared" si="71"/>
        <v>-1.0193365792239008E-2</v>
      </c>
      <c r="V207" s="1">
        <f t="shared" si="72"/>
        <v>-8.3535790029285611E-4</v>
      </c>
      <c r="W207" s="1">
        <f t="shared" si="73"/>
        <v>-4.0291472851905824E-3</v>
      </c>
      <c r="Y207" s="1">
        <f t="shared" si="74"/>
        <v>-4.2901824342794674E-3</v>
      </c>
      <c r="Z207" s="1">
        <f t="shared" si="75"/>
        <v>-2.6090018211873903E-2</v>
      </c>
      <c r="AA207" s="1">
        <f t="shared" si="76"/>
        <v>1.6615461234104725E-3</v>
      </c>
      <c r="AB207" s="1">
        <f t="shared" si="77"/>
        <v>4.8354113892187141E-3</v>
      </c>
      <c r="AC207" s="1">
        <f t="shared" si="78"/>
        <v>3.3448796943393129E-3</v>
      </c>
      <c r="AD207" s="1">
        <f t="shared" si="79"/>
        <v>1.0174590832998336E-2</v>
      </c>
      <c r="AE207" s="1">
        <f t="shared" si="80"/>
        <v>1.8967006413654033E-2</v>
      </c>
      <c r="AF207" s="1">
        <f t="shared" si="81"/>
        <v>-1.1858324924546039E-2</v>
      </c>
      <c r="AG207" s="1">
        <f t="shared" si="82"/>
        <v>-2.5003170325998874E-3</v>
      </c>
      <c r="AH207" s="1">
        <f t="shared" si="83"/>
        <v>-5.6941064174976137E-3</v>
      </c>
      <c r="AW207" s="28"/>
    </row>
    <row r="208" spans="1:49" x14ac:dyDescent="0.3">
      <c r="A208" s="120">
        <v>45587</v>
      </c>
      <c r="B208" s="1">
        <v>235.342041015625</v>
      </c>
      <c r="C208" s="121" t="s">
        <v>1845</v>
      </c>
      <c r="D208" s="121" t="s">
        <v>1846</v>
      </c>
      <c r="E208" s="121" t="s">
        <v>1847</v>
      </c>
      <c r="F208" s="121" t="s">
        <v>1848</v>
      </c>
      <c r="G208" s="121" t="s">
        <v>1849</v>
      </c>
      <c r="H208" s="121" t="s">
        <v>1850</v>
      </c>
      <c r="I208" s="1">
        <v>764.239990234375</v>
      </c>
      <c r="J208" s="121" t="s">
        <v>1851</v>
      </c>
      <c r="K208" s="121" t="s">
        <v>1852</v>
      </c>
      <c r="M208" s="122">
        <v>45587</v>
      </c>
      <c r="N208" s="1">
        <f t="shared" si="64"/>
        <v>-2.1860225234769021E-2</v>
      </c>
      <c r="O208" s="1">
        <f t="shared" si="65"/>
        <v>-7.6872865582152394E-3</v>
      </c>
      <c r="P208" s="1">
        <f t="shared" si="66"/>
        <v>-2.6656796914304288E-2</v>
      </c>
      <c r="Q208" s="1">
        <f t="shared" si="67"/>
        <v>-1.4393985453342159E-2</v>
      </c>
      <c r="R208" s="1">
        <f t="shared" si="68"/>
        <v>-3.1729413219806647E-3</v>
      </c>
      <c r="S208" s="1">
        <f t="shared" si="69"/>
        <v>-3.1983347864820093E-2</v>
      </c>
      <c r="T208" s="1">
        <f t="shared" si="70"/>
        <v>-6.8301332750925316E-3</v>
      </c>
      <c r="U208" s="1">
        <f t="shared" si="71"/>
        <v>-1.9755801016366606E-2</v>
      </c>
      <c r="V208" s="1">
        <f t="shared" si="72"/>
        <v>-2.8467442703680988E-2</v>
      </c>
      <c r="W208" s="1">
        <f t="shared" si="73"/>
        <v>-2.0018310718539236E-2</v>
      </c>
      <c r="Y208" s="1">
        <f t="shared" si="74"/>
        <v>-2.3525184367076051E-2</v>
      </c>
      <c r="Z208" s="1">
        <f t="shared" si="75"/>
        <v>-9.3522456905222699E-3</v>
      </c>
      <c r="AA208" s="1">
        <f t="shared" si="76"/>
        <v>-2.8321756046611319E-2</v>
      </c>
      <c r="AB208" s="1">
        <f t="shared" si="77"/>
        <v>-1.6058944585649191E-2</v>
      </c>
      <c r="AC208" s="1">
        <f t="shared" si="78"/>
        <v>-4.837900454287696E-3</v>
      </c>
      <c r="AD208" s="1">
        <f t="shared" si="79"/>
        <v>-3.3648306997127127E-2</v>
      </c>
      <c r="AE208" s="1">
        <f t="shared" si="80"/>
        <v>-8.495092407399563E-3</v>
      </c>
      <c r="AF208" s="1">
        <f t="shared" si="81"/>
        <v>-2.1420760148673636E-2</v>
      </c>
      <c r="AG208" s="1">
        <f t="shared" si="82"/>
        <v>-3.0132401835988018E-2</v>
      </c>
      <c r="AH208" s="1">
        <f t="shared" si="83"/>
        <v>-2.1683269850846267E-2</v>
      </c>
      <c r="AW208" s="28"/>
    </row>
    <row r="209" spans="1:49" x14ac:dyDescent="0.3">
      <c r="A209" s="120">
        <v>45588</v>
      </c>
      <c r="B209" s="121" t="s">
        <v>1853</v>
      </c>
      <c r="C209" s="121" t="s">
        <v>1854</v>
      </c>
      <c r="D209" s="121" t="s">
        <v>1855</v>
      </c>
      <c r="E209" s="121" t="s">
        <v>1856</v>
      </c>
      <c r="F209" s="121" t="s">
        <v>1857</v>
      </c>
      <c r="G209" s="121" t="s">
        <v>1858</v>
      </c>
      <c r="H209" s="121" t="s">
        <v>1859</v>
      </c>
      <c r="I209" s="121" t="s">
        <v>1860</v>
      </c>
      <c r="J209" s="121" t="s">
        <v>1861</v>
      </c>
      <c r="K209" s="121" t="s">
        <v>1862</v>
      </c>
      <c r="M209" s="122">
        <v>45588</v>
      </c>
      <c r="N209" s="1">
        <f t="shared" si="64"/>
        <v>-8.2367259721770835E-4</v>
      </c>
      <c r="O209" s="1">
        <f t="shared" si="65"/>
        <v>3.4600900767716024E-3</v>
      </c>
      <c r="P209" s="1">
        <f t="shared" si="66"/>
        <v>9.0005626162845166E-3</v>
      </c>
      <c r="Q209" s="1">
        <f t="shared" si="67"/>
        <v>-3.6874438820161051E-4</v>
      </c>
      <c r="R209" s="1">
        <f t="shared" si="68"/>
        <v>7.0028027181823901E-3</v>
      </c>
      <c r="S209" s="1">
        <f t="shared" si="69"/>
        <v>7.2296692656099249E-3</v>
      </c>
      <c r="T209" s="1">
        <f t="shared" si="70"/>
        <v>3.0606427415395712E-4</v>
      </c>
      <c r="U209" s="1">
        <f t="shared" si="71"/>
        <v>6.9954667194939415E-3</v>
      </c>
      <c r="V209" s="1">
        <f t="shared" si="72"/>
        <v>6.0721369587021061E-3</v>
      </c>
      <c r="W209" s="1">
        <f t="shared" si="73"/>
        <v>0.19818699146920901</v>
      </c>
      <c r="Y209" s="1">
        <f t="shared" si="74"/>
        <v>-2.4886317295247395E-3</v>
      </c>
      <c r="Z209" s="1">
        <f t="shared" si="75"/>
        <v>1.7951309444645713E-3</v>
      </c>
      <c r="AA209" s="1">
        <f t="shared" si="76"/>
        <v>7.3356034839774853E-3</v>
      </c>
      <c r="AB209" s="1">
        <f t="shared" si="77"/>
        <v>-2.0337035205086418E-3</v>
      </c>
      <c r="AC209" s="1">
        <f t="shared" si="78"/>
        <v>5.3378435858753587E-3</v>
      </c>
      <c r="AD209" s="1">
        <f t="shared" si="79"/>
        <v>5.5647101333028935E-3</v>
      </c>
      <c r="AE209" s="1">
        <f t="shared" si="80"/>
        <v>-1.358894858153074E-3</v>
      </c>
      <c r="AF209" s="1">
        <f t="shared" si="81"/>
        <v>5.3305075871869102E-3</v>
      </c>
      <c r="AG209" s="1">
        <f t="shared" si="82"/>
        <v>4.4071778263950747E-3</v>
      </c>
      <c r="AH209" s="1">
        <f t="shared" si="83"/>
        <v>0.19652203233690199</v>
      </c>
      <c r="AW209" s="28"/>
    </row>
    <row r="210" spans="1:49" x14ac:dyDescent="0.3">
      <c r="A210" s="120">
        <v>45589</v>
      </c>
      <c r="B210" s="121" t="s">
        <v>1863</v>
      </c>
      <c r="C210" s="121" t="s">
        <v>1864</v>
      </c>
      <c r="D210" s="121" t="s">
        <v>1865</v>
      </c>
      <c r="E210" s="121" t="s">
        <v>1866</v>
      </c>
      <c r="F210" s="121" t="s">
        <v>1867</v>
      </c>
      <c r="G210" s="1">
        <v>566.818115234375</v>
      </c>
      <c r="H210" s="121" t="s">
        <v>1868</v>
      </c>
      <c r="I210" s="121" t="s">
        <v>1869</v>
      </c>
      <c r="J210" s="121" t="s">
        <v>1870</v>
      </c>
      <c r="K210" s="121" t="s">
        <v>1871</v>
      </c>
      <c r="M210" s="122">
        <v>45589</v>
      </c>
      <c r="N210" s="1">
        <f t="shared" si="64"/>
        <v>3.6365020973411818E-3</v>
      </c>
      <c r="O210" s="1">
        <f t="shared" si="65"/>
        <v>1.8019626030288137E-2</v>
      </c>
      <c r="P210" s="1">
        <f t="shared" si="66"/>
        <v>7.7496816181294378E-3</v>
      </c>
      <c r="Q210" s="1">
        <f t="shared" si="67"/>
        <v>1.5549618284712276E-2</v>
      </c>
      <c r="R210" s="1">
        <f t="shared" si="68"/>
        <v>-1.193870226512668E-2</v>
      </c>
      <c r="S210" s="1">
        <f t="shared" si="69"/>
        <v>9.5878323906657612E-3</v>
      </c>
      <c r="T210" s="1">
        <f t="shared" si="70"/>
        <v>8.0199372730835224E-3</v>
      </c>
      <c r="U210" s="1">
        <f t="shared" si="71"/>
        <v>1.7227975168406914E-4</v>
      </c>
      <c r="V210" s="1">
        <f t="shared" si="72"/>
        <v>8.01556537901911E-3</v>
      </c>
      <c r="W210" s="1">
        <f t="shared" si="73"/>
        <v>3.2891334056112186E-2</v>
      </c>
      <c r="Y210" s="1">
        <f t="shared" si="74"/>
        <v>1.9715429650341504E-3</v>
      </c>
      <c r="Z210" s="1">
        <f t="shared" si="75"/>
        <v>1.6354666897981106E-2</v>
      </c>
      <c r="AA210" s="1">
        <f t="shared" si="76"/>
        <v>6.0847224858224065E-3</v>
      </c>
      <c r="AB210" s="1">
        <f t="shared" si="77"/>
        <v>1.3884659152405245E-2</v>
      </c>
      <c r="AC210" s="1">
        <f t="shared" si="78"/>
        <v>-1.360366139743371E-2</v>
      </c>
      <c r="AD210" s="1">
        <f t="shared" si="79"/>
        <v>7.9228732583587307E-3</v>
      </c>
      <c r="AE210" s="1">
        <f t="shared" si="80"/>
        <v>6.354978140776491E-3</v>
      </c>
      <c r="AF210" s="1">
        <f t="shared" si="81"/>
        <v>-1.492679380622962E-3</v>
      </c>
      <c r="AG210" s="1">
        <f t="shared" si="82"/>
        <v>6.3506062467120787E-3</v>
      </c>
      <c r="AH210" s="1">
        <f t="shared" si="83"/>
        <v>3.1226374923805155E-2</v>
      </c>
      <c r="AW210" s="28"/>
    </row>
    <row r="211" spans="1:49" x14ac:dyDescent="0.3">
      <c r="A211" s="120">
        <v>45590</v>
      </c>
      <c r="B211" s="121" t="s">
        <v>1872</v>
      </c>
      <c r="C211" s="121" t="s">
        <v>1873</v>
      </c>
      <c r="D211" s="121" t="s">
        <v>1874</v>
      </c>
      <c r="E211" s="121" t="s">
        <v>1875</v>
      </c>
      <c r="F211" s="121" t="s">
        <v>1876</v>
      </c>
      <c r="G211" s="1">
        <v>572.27880859375</v>
      </c>
      <c r="H211" s="121" t="s">
        <v>1877</v>
      </c>
      <c r="I211" s="121" t="s">
        <v>1878</v>
      </c>
      <c r="J211" s="121" t="s">
        <v>1879</v>
      </c>
      <c r="K211" s="121" t="s">
        <v>1880</v>
      </c>
      <c r="M211" s="122">
        <v>45590</v>
      </c>
      <c r="N211" s="1">
        <f t="shared" si="64"/>
        <v>8.5626752736545995E-3</v>
      </c>
      <c r="O211" s="1">
        <f t="shared" si="65"/>
        <v>2.33444256657654E-2</v>
      </c>
      <c r="P211" s="1">
        <f t="shared" si="66"/>
        <v>2.9769707636580394E-3</v>
      </c>
      <c r="Q211" s="1">
        <f t="shared" si="67"/>
        <v>8.7352378363909026E-3</v>
      </c>
      <c r="R211" s="1">
        <f t="shared" si="68"/>
        <v>1.4247377782232763E-2</v>
      </c>
      <c r="S211" s="1">
        <f t="shared" si="69"/>
        <v>8.5287093151566237E-3</v>
      </c>
      <c r="T211" s="1">
        <f t="shared" si="70"/>
        <v>-3.6501740488931352E-3</v>
      </c>
      <c r="U211" s="1">
        <f t="shared" si="71"/>
        <v>-7.3946308538657881E-3</v>
      </c>
      <c r="V211" s="1">
        <f t="shared" si="72"/>
        <v>-7.2325390712298368E-3</v>
      </c>
      <c r="W211" s="1">
        <f t="shared" si="73"/>
        <v>-2.5128245302397233E-2</v>
      </c>
      <c r="Y211" s="1">
        <f t="shared" si="74"/>
        <v>6.8977161413475681E-3</v>
      </c>
      <c r="Z211" s="1">
        <f t="shared" si="75"/>
        <v>2.1679466533458369E-2</v>
      </c>
      <c r="AA211" s="1">
        <f t="shared" si="76"/>
        <v>1.3120116313510082E-3</v>
      </c>
      <c r="AB211" s="1">
        <f t="shared" si="77"/>
        <v>7.0702787040838712E-3</v>
      </c>
      <c r="AC211" s="1">
        <f t="shared" si="78"/>
        <v>1.2582418649925733E-2</v>
      </c>
      <c r="AD211" s="1">
        <f t="shared" si="79"/>
        <v>6.8637501828495923E-3</v>
      </c>
      <c r="AE211" s="1">
        <f t="shared" si="80"/>
        <v>-5.3151331812001665E-3</v>
      </c>
      <c r="AF211" s="1">
        <f t="shared" si="81"/>
        <v>-9.0595899861728186E-3</v>
      </c>
      <c r="AG211" s="1">
        <f t="shared" si="82"/>
        <v>-8.8974982035368681E-3</v>
      </c>
      <c r="AH211" s="1">
        <f t="shared" si="83"/>
        <v>-2.6793204434704263E-2</v>
      </c>
      <c r="AW211" s="28"/>
    </row>
    <row r="212" spans="1:49" x14ac:dyDescent="0.3">
      <c r="A212" s="120">
        <v>45593</v>
      </c>
      <c r="B212" s="121" t="s">
        <v>1881</v>
      </c>
      <c r="C212" s="121" t="s">
        <v>1882</v>
      </c>
      <c r="D212" s="121" t="s">
        <v>1883</v>
      </c>
      <c r="E212" s="121" t="s">
        <v>1884</v>
      </c>
      <c r="F212" s="121" t="s">
        <v>1885</v>
      </c>
      <c r="G212" s="121" t="s">
        <v>1886</v>
      </c>
      <c r="H212" s="121" t="s">
        <v>1887</v>
      </c>
      <c r="I212" s="121" t="s">
        <v>1888</v>
      </c>
      <c r="J212" s="121" t="s">
        <v>1889</v>
      </c>
      <c r="K212" s="1">
        <v>262.510009765625</v>
      </c>
      <c r="M212" s="122">
        <v>45593</v>
      </c>
      <c r="N212" s="1">
        <f t="shared" si="64"/>
        <v>1.1561528407396907E-3</v>
      </c>
      <c r="O212" s="1">
        <f t="shared" si="65"/>
        <v>3.8819000793637537E-2</v>
      </c>
      <c r="P212" s="1">
        <f t="shared" si="66"/>
        <v>1.2868710016582146E-2</v>
      </c>
      <c r="Q212" s="1">
        <f t="shared" si="67"/>
        <v>1.7598589102930967E-2</v>
      </c>
      <c r="R212" s="1">
        <f t="shared" si="68"/>
        <v>-1.1596911837806886E-2</v>
      </c>
      <c r="S212" s="1">
        <f t="shared" si="69"/>
        <v>2.5815982668363366E-2</v>
      </c>
      <c r="T212" s="1">
        <f t="shared" si="70"/>
        <v>1.2486485964142103E-2</v>
      </c>
      <c r="U212" s="1">
        <f t="shared" si="71"/>
        <v>1.3682145003807322E-2</v>
      </c>
      <c r="V212" s="1">
        <f t="shared" si="72"/>
        <v>5.1815877396056507E-3</v>
      </c>
      <c r="W212" s="1">
        <f t="shared" si="73"/>
        <v>-1.1455485151349618E-2</v>
      </c>
      <c r="Y212" s="1">
        <f t="shared" si="74"/>
        <v>-5.0880629156734047E-4</v>
      </c>
      <c r="Z212" s="1">
        <f t="shared" si="75"/>
        <v>3.7154041661330503E-2</v>
      </c>
      <c r="AA212" s="1">
        <f t="shared" si="76"/>
        <v>1.1203750884275115E-2</v>
      </c>
      <c r="AB212" s="1">
        <f t="shared" si="77"/>
        <v>1.5933629970623937E-2</v>
      </c>
      <c r="AC212" s="1">
        <f t="shared" si="78"/>
        <v>-1.3261870970113917E-2</v>
      </c>
      <c r="AD212" s="1">
        <f t="shared" si="79"/>
        <v>2.4151023536056335E-2</v>
      </c>
      <c r="AE212" s="1">
        <f t="shared" si="80"/>
        <v>1.0821526831835073E-2</v>
      </c>
      <c r="AF212" s="1">
        <f t="shared" si="81"/>
        <v>1.2017185871500292E-2</v>
      </c>
      <c r="AG212" s="1">
        <f t="shared" si="82"/>
        <v>3.5166286072986193E-3</v>
      </c>
      <c r="AH212" s="1">
        <f t="shared" si="83"/>
        <v>-1.3120444283656649E-2</v>
      </c>
      <c r="AW212" s="28"/>
    </row>
    <row r="213" spans="1:49" x14ac:dyDescent="0.3">
      <c r="A213" s="120">
        <v>45594</v>
      </c>
      <c r="B213" s="121" t="s">
        <v>1890</v>
      </c>
      <c r="C213" s="1">
        <v>166.25</v>
      </c>
      <c r="D213" s="121" t="s">
        <v>1891</v>
      </c>
      <c r="E213" s="121" t="s">
        <v>1892</v>
      </c>
      <c r="F213" s="121" t="s">
        <v>1893</v>
      </c>
      <c r="G213" s="121" t="s">
        <v>1894</v>
      </c>
      <c r="H213" s="121" t="s">
        <v>1895</v>
      </c>
      <c r="I213" s="121" t="s">
        <v>1896</v>
      </c>
      <c r="J213" s="121" t="s">
        <v>1897</v>
      </c>
      <c r="K213" s="121" t="s">
        <v>1898</v>
      </c>
      <c r="M213" s="122">
        <v>45594</v>
      </c>
      <c r="N213" s="1">
        <f t="shared" si="64"/>
        <v>-1.5395818674233518E-2</v>
      </c>
      <c r="O213" s="1">
        <f t="shared" si="65"/>
        <v>-0.11223450617885333</v>
      </c>
      <c r="P213" s="1">
        <f t="shared" si="66"/>
        <v>9.9072345888110338E-3</v>
      </c>
      <c r="Q213" s="1">
        <f t="shared" si="67"/>
        <v>2.7781133418353605E-2</v>
      </c>
      <c r="R213" s="1">
        <f t="shared" si="68"/>
        <v>6.7515026665178786E-3</v>
      </c>
      <c r="S213" s="1">
        <f t="shared" si="69"/>
        <v>-2.4979045366077864E-3</v>
      </c>
      <c r="T213" s="1">
        <f t="shared" si="70"/>
        <v>1.3418105664227793E-3</v>
      </c>
      <c r="U213" s="1">
        <f t="shared" si="71"/>
        <v>-7.533854789467E-3</v>
      </c>
      <c r="V213" s="1">
        <f t="shared" si="72"/>
        <v>-1.3614421435471582E-2</v>
      </c>
      <c r="W213" s="1">
        <f t="shared" si="73"/>
        <v>-7.6198999789351017E-3</v>
      </c>
      <c r="Y213" s="1">
        <f t="shared" si="74"/>
        <v>-1.7060777806540549E-2</v>
      </c>
      <c r="Z213" s="1">
        <f t="shared" si="75"/>
        <v>-0.11389946531116037</v>
      </c>
      <c r="AA213" s="1">
        <f t="shared" si="76"/>
        <v>8.2422754565040033E-3</v>
      </c>
      <c r="AB213" s="1">
        <f t="shared" si="77"/>
        <v>2.6116174286046574E-2</v>
      </c>
      <c r="AC213" s="1">
        <f t="shared" si="78"/>
        <v>5.0865435342108472E-3</v>
      </c>
      <c r="AD213" s="1">
        <f t="shared" si="79"/>
        <v>-4.1628636689148178E-3</v>
      </c>
      <c r="AE213" s="1">
        <f t="shared" si="80"/>
        <v>-3.2314856588425188E-4</v>
      </c>
      <c r="AF213" s="1">
        <f t="shared" si="81"/>
        <v>-9.1988139217740305E-3</v>
      </c>
      <c r="AG213" s="1">
        <f t="shared" si="82"/>
        <v>-1.5279380567778613E-2</v>
      </c>
      <c r="AH213" s="1">
        <f t="shared" si="83"/>
        <v>-9.284859111242133E-3</v>
      </c>
      <c r="AW213" s="28"/>
    </row>
    <row r="214" spans="1:49" x14ac:dyDescent="0.3">
      <c r="A214" s="120">
        <v>45595</v>
      </c>
      <c r="B214" s="121" t="s">
        <v>1899</v>
      </c>
      <c r="C214" s="121" t="s">
        <v>1900</v>
      </c>
      <c r="D214" s="121" t="s">
        <v>1901</v>
      </c>
      <c r="E214" s="1">
        <v>174.059814453125</v>
      </c>
      <c r="F214" s="121" t="s">
        <v>1902</v>
      </c>
      <c r="G214" s="1">
        <v>590.79736328125</v>
      </c>
      <c r="H214" s="121" t="s">
        <v>1903</v>
      </c>
      <c r="I214" s="1">
        <v>753.739990234375</v>
      </c>
      <c r="J214" s="121" t="s">
        <v>1904</v>
      </c>
      <c r="K214" s="121" t="s">
        <v>1905</v>
      </c>
      <c r="M214" s="122">
        <v>45595</v>
      </c>
      <c r="N214" s="1">
        <f t="shared" si="64"/>
        <v>-1.8377319198531677E-2</v>
      </c>
      <c r="O214" s="1">
        <f t="shared" si="65"/>
        <v>-3.0958829945817661E-2</v>
      </c>
      <c r="P214" s="1">
        <f t="shared" si="66"/>
        <v>-3.3395354035538193E-2</v>
      </c>
      <c r="Q214" s="1">
        <f t="shared" si="67"/>
        <v>-1.9388775552196803E-2</v>
      </c>
      <c r="R214" s="1">
        <f t="shared" si="68"/>
        <v>-1.11577669082064E-2</v>
      </c>
      <c r="S214" s="1">
        <f t="shared" si="69"/>
        <v>-4.1786904210420389E-2</v>
      </c>
      <c r="T214" s="1">
        <f t="shared" si="70"/>
        <v>-6.2436809341714139E-2</v>
      </c>
      <c r="U214" s="1">
        <f t="shared" si="71"/>
        <v>3.0336286840048948E-3</v>
      </c>
      <c r="V214" s="1">
        <f t="shared" si="72"/>
        <v>-4.8373945430128844E-2</v>
      </c>
      <c r="W214" s="1">
        <f t="shared" si="73"/>
        <v>-3.0353066395915916E-2</v>
      </c>
      <c r="Y214" s="1">
        <f t="shared" si="74"/>
        <v>-2.0042278330838707E-2</v>
      </c>
      <c r="Z214" s="1">
        <f t="shared" si="75"/>
        <v>-3.2623789078124694E-2</v>
      </c>
      <c r="AA214" s="1">
        <f t="shared" si="76"/>
        <v>-3.5060313167845227E-2</v>
      </c>
      <c r="AB214" s="1">
        <f t="shared" si="77"/>
        <v>-2.1053734684503833E-2</v>
      </c>
      <c r="AC214" s="1">
        <f t="shared" si="78"/>
        <v>-1.2822726040513431E-2</v>
      </c>
      <c r="AD214" s="1">
        <f t="shared" si="79"/>
        <v>-4.3451863342727423E-2</v>
      </c>
      <c r="AE214" s="1">
        <f t="shared" si="80"/>
        <v>-6.4101768474021173E-2</v>
      </c>
      <c r="AF214" s="1">
        <f t="shared" si="81"/>
        <v>1.3686695516978637E-3</v>
      </c>
      <c r="AG214" s="1">
        <f t="shared" si="82"/>
        <v>-5.0038904562435878E-2</v>
      </c>
      <c r="AH214" s="1">
        <f t="shared" si="83"/>
        <v>-3.201802552822295E-2</v>
      </c>
      <c r="AW214" s="28"/>
    </row>
    <row r="215" spans="1:49" x14ac:dyDescent="0.3">
      <c r="A215" s="120">
        <v>45596</v>
      </c>
      <c r="B215" s="121" t="s">
        <v>1906</v>
      </c>
      <c r="C215" s="121" t="s">
        <v>1907</v>
      </c>
      <c r="D215" s="121" t="s">
        <v>1908</v>
      </c>
      <c r="E215" s="121" t="s">
        <v>1909</v>
      </c>
      <c r="F215" s="121" t="s">
        <v>1910</v>
      </c>
      <c r="G215" s="121" t="s">
        <v>1911</v>
      </c>
      <c r="H215" s="121" t="s">
        <v>1912</v>
      </c>
      <c r="I215" s="1">
        <v>756.030029296875</v>
      </c>
      <c r="J215" s="121" t="s">
        <v>1913</v>
      </c>
      <c r="K215" s="121" t="s">
        <v>1914</v>
      </c>
      <c r="M215" s="122">
        <v>45596</v>
      </c>
      <c r="N215" s="1">
        <f t="shared" si="64"/>
        <v>-1.3368570662722601E-2</v>
      </c>
      <c r="O215" s="1">
        <f t="shared" si="65"/>
        <v>-1.5458683334863469E-2</v>
      </c>
      <c r="P215" s="1">
        <f t="shared" si="66"/>
        <v>6.0018526321250057E-2</v>
      </c>
      <c r="Q215" s="1">
        <f t="shared" si="67"/>
        <v>1.0512750312148913E-3</v>
      </c>
      <c r="R215" s="1">
        <f t="shared" si="68"/>
        <v>4.5857028237079904E-3</v>
      </c>
      <c r="S215" s="1">
        <f t="shared" si="69"/>
        <v>-7.4029840746011385E-4</v>
      </c>
      <c r="T215" s="1">
        <f t="shared" si="70"/>
        <v>9.8442489971099136E-3</v>
      </c>
      <c r="U215" s="1">
        <f t="shared" si="71"/>
        <v>9.2513591934721833E-5</v>
      </c>
      <c r="V215" s="1">
        <f t="shared" si="72"/>
        <v>1.9690349616885872E-2</v>
      </c>
      <c r="W215" s="1">
        <f t="shared" si="73"/>
        <v>-3.4882074251473892E-3</v>
      </c>
      <c r="Y215" s="1">
        <f t="shared" si="74"/>
        <v>-1.5033529795029631E-2</v>
      </c>
      <c r="Z215" s="1">
        <f t="shared" si="75"/>
        <v>-1.7123642467170502E-2</v>
      </c>
      <c r="AA215" s="1">
        <f t="shared" si="76"/>
        <v>5.8353567188943023E-2</v>
      </c>
      <c r="AB215" s="1">
        <f t="shared" si="77"/>
        <v>-6.1368410109213984E-4</v>
      </c>
      <c r="AC215" s="1">
        <f t="shared" si="78"/>
        <v>2.920743691400959E-3</v>
      </c>
      <c r="AD215" s="1">
        <f t="shared" si="79"/>
        <v>-2.4052575397671451E-3</v>
      </c>
      <c r="AE215" s="1">
        <f t="shared" si="80"/>
        <v>8.1792898648028831E-3</v>
      </c>
      <c r="AF215" s="1">
        <f t="shared" si="81"/>
        <v>-1.5724455403723094E-3</v>
      </c>
      <c r="AG215" s="1">
        <f t="shared" si="82"/>
        <v>1.8025390484578841E-2</v>
      </c>
      <c r="AH215" s="1">
        <f t="shared" si="83"/>
        <v>-5.1531665574544201E-3</v>
      </c>
      <c r="AW215" s="28"/>
    </row>
    <row r="216" spans="1:49" x14ac:dyDescent="0.3">
      <c r="A216" s="120">
        <v>45597</v>
      </c>
      <c r="B216" s="121" t="s">
        <v>1915</v>
      </c>
      <c r="C216" s="121" t="s">
        <v>1916</v>
      </c>
      <c r="D216" s="121" t="s">
        <v>1917</v>
      </c>
      <c r="E216" s="121" t="s">
        <v>1918</v>
      </c>
      <c r="F216" s="121" t="s">
        <v>1919</v>
      </c>
      <c r="G216" s="121" t="s">
        <v>1920</v>
      </c>
      <c r="H216" s="121" t="s">
        <v>1921</v>
      </c>
      <c r="I216" s="121" t="s">
        <v>1922</v>
      </c>
      <c r="J216" s="121" t="s">
        <v>1923</v>
      </c>
      <c r="K216" s="121" t="s">
        <v>1924</v>
      </c>
      <c r="M216" s="122">
        <v>45597</v>
      </c>
      <c r="N216" s="1">
        <f t="shared" si="64"/>
        <v>-4.0457542239282574E-3</v>
      </c>
      <c r="O216" s="1">
        <f t="shared" si="65"/>
        <v>-8.1395775620523008E-3</v>
      </c>
      <c r="P216" s="1">
        <f t="shared" si="66"/>
        <v>-1.0921822230351654E-2</v>
      </c>
      <c r="Q216" s="1">
        <f t="shared" si="67"/>
        <v>-1.2040054393746844E-2</v>
      </c>
      <c r="R216" s="1">
        <f t="shared" si="68"/>
        <v>-1.4275652604134128E-2</v>
      </c>
      <c r="S216" s="1">
        <f t="shared" si="69"/>
        <v>-1.1491177268442331E-2</v>
      </c>
      <c r="T216" s="1">
        <f t="shared" si="70"/>
        <v>-4.6652121611381872E-3</v>
      </c>
      <c r="U216" s="1">
        <f t="shared" si="71"/>
        <v>-7.8057945632123427E-4</v>
      </c>
      <c r="V216" s="1">
        <f t="shared" si="72"/>
        <v>4.7891554943923741E-3</v>
      </c>
      <c r="W216" s="1">
        <f t="shared" si="73"/>
        <v>-2.496977961189133E-2</v>
      </c>
      <c r="Y216" s="1">
        <f t="shared" si="74"/>
        <v>-5.7107133562352887E-3</v>
      </c>
      <c r="Z216" s="1">
        <f t="shared" si="75"/>
        <v>-9.8045366943593313E-3</v>
      </c>
      <c r="AA216" s="1">
        <f t="shared" si="76"/>
        <v>-1.2586781362658684E-2</v>
      </c>
      <c r="AB216" s="1">
        <f t="shared" si="77"/>
        <v>-1.3705013526053874E-2</v>
      </c>
      <c r="AC216" s="1">
        <f t="shared" si="78"/>
        <v>-1.5940611736441158E-2</v>
      </c>
      <c r="AD216" s="1">
        <f t="shared" si="79"/>
        <v>-1.3156136400749361E-2</v>
      </c>
      <c r="AE216" s="1">
        <f t="shared" si="80"/>
        <v>-6.3301712934452185E-3</v>
      </c>
      <c r="AF216" s="1">
        <f t="shared" si="81"/>
        <v>-2.4455385886282656E-3</v>
      </c>
      <c r="AG216" s="1">
        <f t="shared" si="82"/>
        <v>3.1241963620853427E-3</v>
      </c>
      <c r="AH216" s="1">
        <f t="shared" si="83"/>
        <v>-2.6634738744198361E-2</v>
      </c>
      <c r="AW216" s="28"/>
    </row>
    <row r="217" spans="1:49" x14ac:dyDescent="0.3">
      <c r="A217" s="120">
        <v>45600</v>
      </c>
      <c r="B217" s="121" t="s">
        <v>1925</v>
      </c>
      <c r="C217" s="121" t="s">
        <v>1926</v>
      </c>
      <c r="D217" s="121" t="s">
        <v>1927</v>
      </c>
      <c r="E217" s="1">
        <v>168.851806640625</v>
      </c>
      <c r="F217" s="121" t="s">
        <v>1928</v>
      </c>
      <c r="G217" s="121" t="s">
        <v>1929</v>
      </c>
      <c r="H217" s="121" t="s">
        <v>1930</v>
      </c>
      <c r="I217" s="1">
        <v>755.510009765625</v>
      </c>
      <c r="J217" s="121" t="s">
        <v>1931</v>
      </c>
      <c r="K217" s="121" t="s">
        <v>1932</v>
      </c>
      <c r="M217" s="122">
        <v>45600</v>
      </c>
      <c r="N217" s="1">
        <f t="shared" si="64"/>
        <v>6.4652774823668116E-3</v>
      </c>
      <c r="O217" s="1">
        <f t="shared" si="65"/>
        <v>6.728763662497206E-3</v>
      </c>
      <c r="P217" s="1">
        <f t="shared" si="66"/>
        <v>1.8822662731714103E-2</v>
      </c>
      <c r="Q217" s="1">
        <f t="shared" si="67"/>
        <v>2.9499531328239458E-3</v>
      </c>
      <c r="R217" s="1">
        <f t="shared" si="68"/>
        <v>7.7504824639082984E-3</v>
      </c>
      <c r="S217" s="1">
        <f t="shared" si="69"/>
        <v>2.074014060359854E-2</v>
      </c>
      <c r="T217" s="1">
        <f t="shared" si="70"/>
        <v>7.3178723572519411E-3</v>
      </c>
      <c r="U217" s="1">
        <f t="shared" si="71"/>
        <v>1.105691520659304E-2</v>
      </c>
      <c r="V217" s="1">
        <f t="shared" si="72"/>
        <v>2.7976862936937373E-2</v>
      </c>
      <c r="W217" s="1">
        <f t="shared" si="73"/>
        <v>3.480162701711606E-2</v>
      </c>
      <c r="Y217" s="1">
        <f t="shared" si="74"/>
        <v>4.8003183500597802E-3</v>
      </c>
      <c r="Z217" s="1">
        <f t="shared" si="75"/>
        <v>5.0638045301901746E-3</v>
      </c>
      <c r="AA217" s="1">
        <f t="shared" si="76"/>
        <v>1.7157703599407072E-2</v>
      </c>
      <c r="AB217" s="1">
        <f t="shared" si="77"/>
        <v>1.2849940005169147E-3</v>
      </c>
      <c r="AC217" s="1">
        <f t="shared" si="78"/>
        <v>6.0855233316012671E-3</v>
      </c>
      <c r="AD217" s="1">
        <f t="shared" si="79"/>
        <v>1.9075181471291509E-2</v>
      </c>
      <c r="AE217" s="1">
        <f t="shared" si="80"/>
        <v>5.6529132249449098E-3</v>
      </c>
      <c r="AF217" s="1">
        <f t="shared" si="81"/>
        <v>9.3919560742860096E-3</v>
      </c>
      <c r="AG217" s="1">
        <f t="shared" si="82"/>
        <v>2.6311903804630343E-2</v>
      </c>
      <c r="AH217" s="1">
        <f t="shared" si="83"/>
        <v>3.3136667884809026E-2</v>
      </c>
      <c r="AW217" s="28"/>
    </row>
    <row r="218" spans="1:49" x14ac:dyDescent="0.3">
      <c r="A218" s="120">
        <v>45601</v>
      </c>
      <c r="B218" s="121" t="s">
        <v>1933</v>
      </c>
      <c r="C218" s="121" t="s">
        <v>1934</v>
      </c>
      <c r="D218" s="1">
        <v>199.5</v>
      </c>
      <c r="E218" s="121" t="s">
        <v>1935</v>
      </c>
      <c r="F218" s="121" t="s">
        <v>1936</v>
      </c>
      <c r="G218" s="1">
        <v>571.460205078125</v>
      </c>
      <c r="H218" s="121" t="s">
        <v>1937</v>
      </c>
      <c r="I218" s="121" t="s">
        <v>1938</v>
      </c>
      <c r="J218" s="121" t="s">
        <v>1939</v>
      </c>
      <c r="K218" s="121" t="s">
        <v>1940</v>
      </c>
      <c r="M218" s="122">
        <v>45601</v>
      </c>
      <c r="N218" s="1">
        <f t="shared" si="64"/>
        <v>-3.2722832995660503E-3</v>
      </c>
      <c r="O218" s="1">
        <f t="shared" si="65"/>
        <v>2.3993355777464514E-2</v>
      </c>
      <c r="P218" s="1">
        <f t="shared" si="66"/>
        <v>3.7339227369911437E-2</v>
      </c>
      <c r="Q218" s="1">
        <f t="shared" si="67"/>
        <v>3.9109677379190362E-2</v>
      </c>
      <c r="R218" s="1">
        <f t="shared" si="68"/>
        <v>0.10925369263170109</v>
      </c>
      <c r="S218" s="1">
        <f t="shared" si="69"/>
        <v>-6.6401728179568448E-4</v>
      </c>
      <c r="T218" s="1">
        <f t="shared" si="70"/>
        <v>2.0971343770343875E-2</v>
      </c>
      <c r="U218" s="1">
        <f t="shared" si="71"/>
        <v>2.1113196354225299E-2</v>
      </c>
      <c r="V218" s="1">
        <f t="shared" si="72"/>
        <v>3.9932338845590061E-2</v>
      </c>
      <c r="W218" s="1">
        <f t="shared" si="73"/>
        <v>0.13759466024737491</v>
      </c>
      <c r="Y218" s="1">
        <f t="shared" si="74"/>
        <v>-4.9372424318730812E-3</v>
      </c>
      <c r="Z218" s="1">
        <f t="shared" si="75"/>
        <v>2.2328396645157483E-2</v>
      </c>
      <c r="AA218" s="1">
        <f t="shared" si="76"/>
        <v>3.5674268237604403E-2</v>
      </c>
      <c r="AB218" s="1">
        <f t="shared" si="77"/>
        <v>3.7444718246883328E-2</v>
      </c>
      <c r="AC218" s="1">
        <f t="shared" si="78"/>
        <v>0.10758873349939406</v>
      </c>
      <c r="AD218" s="1">
        <f t="shared" si="79"/>
        <v>-2.3289764141027156E-3</v>
      </c>
      <c r="AE218" s="1">
        <f t="shared" si="80"/>
        <v>1.9306384638036845E-2</v>
      </c>
      <c r="AF218" s="1">
        <f t="shared" si="81"/>
        <v>1.9448237221918269E-2</v>
      </c>
      <c r="AG218" s="1">
        <f t="shared" si="82"/>
        <v>3.8267379713283027E-2</v>
      </c>
      <c r="AH218" s="1">
        <f t="shared" si="83"/>
        <v>0.13592970111506789</v>
      </c>
      <c r="AW218" s="28"/>
    </row>
    <row r="219" spans="1:49" x14ac:dyDescent="0.3">
      <c r="A219" s="120">
        <v>45602</v>
      </c>
      <c r="B219" s="121" t="s">
        <v>1941</v>
      </c>
      <c r="C219" s="121" t="s">
        <v>1942</v>
      </c>
      <c r="D219" s="121" t="s">
        <v>1943</v>
      </c>
      <c r="E219" s="121" t="s">
        <v>1944</v>
      </c>
      <c r="F219" s="121" t="s">
        <v>1945</v>
      </c>
      <c r="G219" s="121" t="s">
        <v>1946</v>
      </c>
      <c r="H219" s="1">
        <v>418.50146484375</v>
      </c>
      <c r="I219" s="121" t="s">
        <v>1947</v>
      </c>
      <c r="J219" s="121" t="s">
        <v>1948</v>
      </c>
      <c r="K219" s="121" t="s">
        <v>1949</v>
      </c>
      <c r="M219" s="122">
        <v>45602</v>
      </c>
      <c r="N219" s="1">
        <f t="shared" si="64"/>
        <v>2.114692515398154E-2</v>
      </c>
      <c r="O219" s="1">
        <f t="shared" si="65"/>
        <v>3.2011420452181555E-2</v>
      </c>
      <c r="P219" s="1">
        <f t="shared" si="66"/>
        <v>1.4192148444278196E-2</v>
      </c>
      <c r="Q219" s="1">
        <f t="shared" si="67"/>
        <v>2.3737307882551711E-2</v>
      </c>
      <c r="R219" s="1">
        <f t="shared" si="68"/>
        <v>-4.4190466241106278E-2</v>
      </c>
      <c r="S219" s="1">
        <f t="shared" si="69"/>
        <v>3.3773434104904174E-2</v>
      </c>
      <c r="T219" s="1">
        <f t="shared" si="70"/>
        <v>1.2417320081965487E-2</v>
      </c>
      <c r="U219" s="1">
        <f t="shared" si="71"/>
        <v>2.0714177835987356E-2</v>
      </c>
      <c r="V219" s="1">
        <f t="shared" si="72"/>
        <v>2.2208979400798884E-2</v>
      </c>
      <c r="W219" s="1">
        <f t="shared" si="73"/>
        <v>2.8630012464397125E-2</v>
      </c>
      <c r="Y219" s="1">
        <f t="shared" si="74"/>
        <v>1.9481966021674509E-2</v>
      </c>
      <c r="Z219" s="1">
        <f t="shared" si="75"/>
        <v>3.0346461319874524E-2</v>
      </c>
      <c r="AA219" s="1">
        <f t="shared" si="76"/>
        <v>1.2527189311971165E-2</v>
      </c>
      <c r="AB219" s="1">
        <f t="shared" si="77"/>
        <v>2.2072348750244681E-2</v>
      </c>
      <c r="AC219" s="1">
        <f t="shared" si="78"/>
        <v>-4.5855425373413312E-2</v>
      </c>
      <c r="AD219" s="1">
        <f t="shared" si="79"/>
        <v>3.210847497259714E-2</v>
      </c>
      <c r="AE219" s="1">
        <f t="shared" si="80"/>
        <v>1.0752360949658457E-2</v>
      </c>
      <c r="AF219" s="1">
        <f t="shared" si="81"/>
        <v>1.9049218703680326E-2</v>
      </c>
      <c r="AG219" s="1">
        <f t="shared" si="82"/>
        <v>2.0544020268491853E-2</v>
      </c>
      <c r="AH219" s="1">
        <f t="shared" si="83"/>
        <v>2.6965053332090094E-2</v>
      </c>
      <c r="AW219" s="28"/>
    </row>
    <row r="220" spans="1:49" x14ac:dyDescent="0.3">
      <c r="A220" s="120">
        <v>45603</v>
      </c>
      <c r="B220" s="121" t="s">
        <v>1950</v>
      </c>
      <c r="C220" s="121" t="s">
        <v>1951</v>
      </c>
      <c r="D220" s="121" t="s">
        <v>1952</v>
      </c>
      <c r="E220" s="121" t="s">
        <v>1953</v>
      </c>
      <c r="F220" s="121" t="s">
        <v>1954</v>
      </c>
      <c r="G220" s="121" t="s">
        <v>1955</v>
      </c>
      <c r="H220" s="121" t="s">
        <v>1956</v>
      </c>
      <c r="I220" s="121" t="s">
        <v>1957</v>
      </c>
      <c r="J220" s="121" t="s">
        <v>1958</v>
      </c>
      <c r="K220" s="121" t="s">
        <v>1959</v>
      </c>
      <c r="M220" s="122">
        <v>45603</v>
      </c>
      <c r="N220" s="1">
        <f t="shared" si="64"/>
        <v>-1.1889106154191142E-3</v>
      </c>
      <c r="O220" s="1">
        <f t="shared" si="65"/>
        <v>-1.2560264187256604E-2</v>
      </c>
      <c r="P220" s="1">
        <f t="shared" si="66"/>
        <v>-8.942557238931427E-3</v>
      </c>
      <c r="Q220" s="1">
        <f t="shared" si="67"/>
        <v>-1.3366896928808906E-2</v>
      </c>
      <c r="R220" s="1">
        <f t="shared" si="68"/>
        <v>2.5350333396988107E-3</v>
      </c>
      <c r="S220" s="1">
        <f t="shared" si="69"/>
        <v>-3.9965102282473828E-3</v>
      </c>
      <c r="T220" s="1">
        <f t="shared" si="70"/>
        <v>-6.8163616330955794E-3</v>
      </c>
      <c r="U220" s="1">
        <f t="shared" si="71"/>
        <v>-1.8849199984067554E-3</v>
      </c>
      <c r="V220" s="1">
        <f t="shared" si="72"/>
        <v>-8.4315898063995892E-3</v>
      </c>
      <c r="W220" s="1">
        <f t="shared" si="73"/>
        <v>7.8697175524179486E-2</v>
      </c>
      <c r="Y220" s="1">
        <f t="shared" si="74"/>
        <v>-2.8538697477261451E-3</v>
      </c>
      <c r="Z220" s="1">
        <f t="shared" si="75"/>
        <v>-1.4225223319563635E-2</v>
      </c>
      <c r="AA220" s="1">
        <f t="shared" si="76"/>
        <v>-1.0607516371238458E-2</v>
      </c>
      <c r="AB220" s="1">
        <f t="shared" si="77"/>
        <v>-1.5031856061115937E-2</v>
      </c>
      <c r="AC220" s="1">
        <f t="shared" si="78"/>
        <v>8.7007420739177951E-4</v>
      </c>
      <c r="AD220" s="1">
        <f t="shared" si="79"/>
        <v>-5.6614693605544142E-3</v>
      </c>
      <c r="AE220" s="1">
        <f t="shared" si="80"/>
        <v>-8.4813207654026099E-3</v>
      </c>
      <c r="AF220" s="1">
        <f t="shared" si="81"/>
        <v>-3.5498791307137867E-3</v>
      </c>
      <c r="AG220" s="1">
        <f t="shared" si="82"/>
        <v>-1.009654893870662E-2</v>
      </c>
      <c r="AH220" s="1">
        <f t="shared" si="83"/>
        <v>7.7032216391872452E-2</v>
      </c>
      <c r="AW220" s="28"/>
    </row>
    <row r="221" spans="1:49" x14ac:dyDescent="0.3">
      <c r="A221" s="120">
        <v>45604</v>
      </c>
      <c r="B221" s="121" t="s">
        <v>1960</v>
      </c>
      <c r="C221" s="121" t="s">
        <v>1961</v>
      </c>
      <c r="D221" s="121" t="s">
        <v>1962</v>
      </c>
      <c r="E221" s="121" t="s">
        <v>1963</v>
      </c>
      <c r="F221" s="121" t="s">
        <v>1964</v>
      </c>
      <c r="G221" s="121" t="s">
        <v>1965</v>
      </c>
      <c r="H221" s="1">
        <v>420.85205078125</v>
      </c>
      <c r="I221" s="121" t="s">
        <v>1966</v>
      </c>
      <c r="J221" s="121" t="s">
        <v>1967</v>
      </c>
      <c r="K221" s="121" t="s">
        <v>1968</v>
      </c>
      <c r="M221" s="122">
        <v>45604</v>
      </c>
      <c r="N221" s="1">
        <f t="shared" si="64"/>
        <v>-1.2101494233944896E-2</v>
      </c>
      <c r="O221" s="1">
        <f t="shared" si="65"/>
        <v>-4.0636076136737762E-3</v>
      </c>
      <c r="P221" s="1">
        <f t="shared" si="66"/>
        <v>-6.4575250821935744E-3</v>
      </c>
      <c r="Q221" s="1">
        <f t="shared" si="67"/>
        <v>1.1151465993850092E-2</v>
      </c>
      <c r="R221" s="1">
        <f t="shared" si="68"/>
        <v>9.7004359985059293E-3</v>
      </c>
      <c r="S221" s="1">
        <f t="shared" si="69"/>
        <v>-1.052462963112762E-2</v>
      </c>
      <c r="T221" s="1">
        <f t="shared" si="70"/>
        <v>-1.0778756754526978E-2</v>
      </c>
      <c r="U221" s="1">
        <f t="shared" si="71"/>
        <v>1.2996314761258499E-2</v>
      </c>
      <c r="V221" s="1">
        <f t="shared" si="72"/>
        <v>-1.6183868738860113E-2</v>
      </c>
      <c r="W221" s="1">
        <f t="shared" si="73"/>
        <v>8.5806904048499527E-2</v>
      </c>
      <c r="Y221" s="1">
        <f t="shared" si="74"/>
        <v>-1.3766453366251926E-2</v>
      </c>
      <c r="Z221" s="1">
        <f t="shared" si="75"/>
        <v>-5.7285667459808075E-3</v>
      </c>
      <c r="AA221" s="1">
        <f t="shared" si="76"/>
        <v>-8.1224842145006058E-3</v>
      </c>
      <c r="AB221" s="1">
        <f t="shared" si="77"/>
        <v>9.4865068615430613E-3</v>
      </c>
      <c r="AC221" s="1">
        <f t="shared" si="78"/>
        <v>8.0354768661988988E-3</v>
      </c>
      <c r="AD221" s="1">
        <f t="shared" si="79"/>
        <v>-1.218958876343465E-2</v>
      </c>
      <c r="AE221" s="1">
        <f t="shared" si="80"/>
        <v>-1.2443715886834008E-2</v>
      </c>
      <c r="AF221" s="1">
        <f t="shared" si="81"/>
        <v>1.1331355628951469E-2</v>
      </c>
      <c r="AG221" s="1">
        <f t="shared" si="82"/>
        <v>-1.7848827871167143E-2</v>
      </c>
      <c r="AH221" s="1">
        <f t="shared" si="83"/>
        <v>8.4141944916192493E-2</v>
      </c>
      <c r="AW221" s="28"/>
    </row>
    <row r="222" spans="1:49" x14ac:dyDescent="0.3">
      <c r="A222" s="120">
        <v>45607</v>
      </c>
      <c r="B222" s="121" t="s">
        <v>1969</v>
      </c>
      <c r="C222" s="121" t="s">
        <v>1970</v>
      </c>
      <c r="D222" s="121" t="s">
        <v>1971</v>
      </c>
      <c r="E222" s="121" t="s">
        <v>1972</v>
      </c>
      <c r="F222" s="121" t="s">
        <v>1973</v>
      </c>
      <c r="G222" s="121" t="s">
        <v>1974</v>
      </c>
      <c r="H222" s="121" t="s">
        <v>1975</v>
      </c>
      <c r="I222" s="121" t="s">
        <v>1976</v>
      </c>
      <c r="J222" s="121" t="s">
        <v>1977</v>
      </c>
      <c r="K222" s="1">
        <v>350</v>
      </c>
      <c r="M222" s="122">
        <v>45607</v>
      </c>
      <c r="N222" s="1">
        <f t="shared" si="64"/>
        <v>0</v>
      </c>
      <c r="O222" s="1">
        <f t="shared" si="65"/>
        <v>-2.5570168166091964E-2</v>
      </c>
      <c r="P222" s="1">
        <f t="shared" si="66"/>
        <v>9.958024917576162E-3</v>
      </c>
      <c r="Q222" s="1">
        <f t="shared" si="67"/>
        <v>7.0172014315779E-3</v>
      </c>
      <c r="R222" s="1">
        <f t="shared" si="68"/>
        <v>1.1277145471697933E-3</v>
      </c>
      <c r="S222" s="1">
        <f t="shared" si="69"/>
        <v>2.8253894124153607E-3</v>
      </c>
      <c r="T222" s="1">
        <f t="shared" si="70"/>
        <v>1.1937725454407199E-2</v>
      </c>
      <c r="U222" s="1">
        <f t="shared" si="71"/>
        <v>1.7305683205787618E-2</v>
      </c>
      <c r="V222" s="1">
        <f t="shared" si="72"/>
        <v>2.0644458781028139E-2</v>
      </c>
      <c r="W222" s="1">
        <f t="shared" si="73"/>
        <v>-6.3426788151282776E-2</v>
      </c>
      <c r="Y222" s="1">
        <f t="shared" si="74"/>
        <v>-1.6649591323070311E-3</v>
      </c>
      <c r="Z222" s="1">
        <f t="shared" si="75"/>
        <v>-2.7235127298398994E-2</v>
      </c>
      <c r="AA222" s="1">
        <f t="shared" si="76"/>
        <v>8.2930657852691315E-3</v>
      </c>
      <c r="AB222" s="1">
        <f t="shared" si="77"/>
        <v>5.3522422992708686E-3</v>
      </c>
      <c r="AC222" s="1">
        <f t="shared" si="78"/>
        <v>-5.372445851372378E-4</v>
      </c>
      <c r="AD222" s="1">
        <f t="shared" si="79"/>
        <v>1.1604302801083296E-3</v>
      </c>
      <c r="AE222" s="1">
        <f t="shared" si="80"/>
        <v>1.0272766322100169E-2</v>
      </c>
      <c r="AF222" s="1">
        <f t="shared" si="81"/>
        <v>1.5640724073480588E-2</v>
      </c>
      <c r="AG222" s="1">
        <f t="shared" si="82"/>
        <v>1.8979499648721108E-2</v>
      </c>
      <c r="AH222" s="1">
        <f t="shared" si="83"/>
        <v>-6.509174728358981E-2</v>
      </c>
      <c r="AW222" s="28"/>
    </row>
    <row r="223" spans="1:49" x14ac:dyDescent="0.3">
      <c r="A223" s="120">
        <v>45608</v>
      </c>
      <c r="B223" s="121" t="s">
        <v>1969</v>
      </c>
      <c r="C223" s="121" t="s">
        <v>1978</v>
      </c>
      <c r="D223" s="121" t="s">
        <v>1979</v>
      </c>
      <c r="E223" s="121" t="s">
        <v>1980</v>
      </c>
      <c r="F223" s="121" t="s">
        <v>1981</v>
      </c>
      <c r="G223" s="121" t="s">
        <v>1982</v>
      </c>
      <c r="H223" s="1">
        <v>421.340087890625</v>
      </c>
      <c r="I223" s="1">
        <v>819.5</v>
      </c>
      <c r="J223" s="121" t="s">
        <v>1983</v>
      </c>
      <c r="K223" s="1">
        <v>328.489990234375</v>
      </c>
      <c r="M223" s="122">
        <v>45608</v>
      </c>
      <c r="N223" s="1">
        <f t="shared" si="64"/>
        <v>3.9612838728008111E-3</v>
      </c>
      <c r="O223" s="1">
        <f t="shared" si="65"/>
        <v>-3.0610679745934649E-2</v>
      </c>
      <c r="P223" s="1">
        <f t="shared" si="66"/>
        <v>2.4539669362854285E-2</v>
      </c>
      <c r="Q223" s="1">
        <f t="shared" si="67"/>
        <v>-1.5201424090758165E-2</v>
      </c>
      <c r="R223" s="1">
        <f t="shared" si="68"/>
        <v>6.656716961100006E-3</v>
      </c>
      <c r="S223" s="1">
        <f t="shared" si="69"/>
        <v>-8.2759944440028033E-3</v>
      </c>
      <c r="T223" s="1">
        <f t="shared" si="70"/>
        <v>5.1166556890138654E-3</v>
      </c>
      <c r="U223" s="1">
        <f t="shared" si="71"/>
        <v>1.3297372121976701E-2</v>
      </c>
      <c r="V223" s="1">
        <f t="shared" si="72"/>
        <v>-1.3715544386792719E-2</v>
      </c>
      <c r="W223" s="1">
        <f t="shared" si="73"/>
        <v>5.3132669496695119E-3</v>
      </c>
      <c r="Y223" s="1">
        <f t="shared" si="74"/>
        <v>2.2963247404937798E-3</v>
      </c>
      <c r="Z223" s="1">
        <f t="shared" si="75"/>
        <v>-3.2275638878241683E-2</v>
      </c>
      <c r="AA223" s="1">
        <f t="shared" si="76"/>
        <v>2.2874710230547254E-2</v>
      </c>
      <c r="AB223" s="1">
        <f t="shared" si="77"/>
        <v>-1.6866383223065197E-2</v>
      </c>
      <c r="AC223" s="1">
        <f t="shared" si="78"/>
        <v>4.9917578287929747E-3</v>
      </c>
      <c r="AD223" s="1">
        <f t="shared" si="79"/>
        <v>-9.9409535763098338E-3</v>
      </c>
      <c r="AE223" s="1">
        <f t="shared" si="80"/>
        <v>3.451696556706834E-3</v>
      </c>
      <c r="AF223" s="1">
        <f t="shared" si="81"/>
        <v>1.1632412989669671E-2</v>
      </c>
      <c r="AG223" s="1">
        <f t="shared" si="82"/>
        <v>-1.538050351909975E-2</v>
      </c>
      <c r="AH223" s="1">
        <f t="shared" si="83"/>
        <v>3.6483078173624806E-3</v>
      </c>
      <c r="AW223" s="28"/>
    </row>
    <row r="224" spans="1:49" x14ac:dyDescent="0.3">
      <c r="A224" s="120">
        <v>45609</v>
      </c>
      <c r="B224" s="121" t="s">
        <v>1984</v>
      </c>
      <c r="C224" s="121" t="s">
        <v>1985</v>
      </c>
      <c r="D224" s="121" t="s">
        <v>1986</v>
      </c>
      <c r="E224" s="121" t="s">
        <v>1987</v>
      </c>
      <c r="F224" s="1">
        <v>239.9208984375</v>
      </c>
      <c r="G224" s="121" t="s">
        <v>1988</v>
      </c>
      <c r="H224" s="1">
        <v>423.50146484375</v>
      </c>
      <c r="I224" s="1">
        <v>830.469970703125</v>
      </c>
      <c r="J224" s="121" t="s">
        <v>1989</v>
      </c>
      <c r="K224" s="1">
        <v>330.239990234375</v>
      </c>
      <c r="M224" s="122">
        <v>45609</v>
      </c>
      <c r="N224" s="1">
        <f t="shared" si="64"/>
        <v>1.3676517897099344E-2</v>
      </c>
      <c r="O224" s="1">
        <f t="shared" si="65"/>
        <v>-3.3077380764543166E-3</v>
      </c>
      <c r="P224" s="1">
        <f t="shared" si="66"/>
        <v>-1.2312812938835828E-2</v>
      </c>
      <c r="Q224" s="1">
        <f t="shared" si="67"/>
        <v>-1.8620347974052018E-2</v>
      </c>
      <c r="R224" s="1">
        <f t="shared" si="68"/>
        <v>2.9397475599839502E-3</v>
      </c>
      <c r="S224" s="1">
        <f t="shared" si="69"/>
        <v>-4.9086076687593254E-3</v>
      </c>
      <c r="T224" s="1">
        <f t="shared" si="70"/>
        <v>3.9666718534021534E-3</v>
      </c>
      <c r="U224" s="1">
        <f t="shared" si="71"/>
        <v>8.1428968247554794E-3</v>
      </c>
      <c r="V224" s="1">
        <f t="shared" si="72"/>
        <v>3.3443215125690436E-3</v>
      </c>
      <c r="W224" s="1">
        <f t="shared" si="73"/>
        <v>-5.9448133931950406E-2</v>
      </c>
      <c r="Y224" s="1">
        <f t="shared" si="74"/>
        <v>1.2011558764792313E-2</v>
      </c>
      <c r="Z224" s="1">
        <f t="shared" si="75"/>
        <v>-4.9726972087613475E-3</v>
      </c>
      <c r="AA224" s="1">
        <f t="shared" si="76"/>
        <v>-1.3977772071142858E-2</v>
      </c>
      <c r="AB224" s="1">
        <f t="shared" si="77"/>
        <v>-2.0285307106359049E-2</v>
      </c>
      <c r="AC224" s="1">
        <f t="shared" si="78"/>
        <v>1.2747884276769191E-3</v>
      </c>
      <c r="AD224" s="1">
        <f t="shared" si="79"/>
        <v>-6.5735668010663568E-3</v>
      </c>
      <c r="AE224" s="1">
        <f t="shared" si="80"/>
        <v>2.301712721095122E-3</v>
      </c>
      <c r="AF224" s="1">
        <f t="shared" si="81"/>
        <v>6.477937692448448E-3</v>
      </c>
      <c r="AG224" s="1">
        <f t="shared" si="82"/>
        <v>1.6793623802620124E-3</v>
      </c>
      <c r="AH224" s="1">
        <f t="shared" si="83"/>
        <v>-6.111309306425744E-2</v>
      </c>
      <c r="AW224" s="28"/>
    </row>
    <row r="225" spans="1:49" x14ac:dyDescent="0.3">
      <c r="A225" s="120">
        <v>45610</v>
      </c>
      <c r="B225" s="121" t="s">
        <v>1990</v>
      </c>
      <c r="C225" s="121" t="s">
        <v>1991</v>
      </c>
      <c r="D225" s="121" t="s">
        <v>1992</v>
      </c>
      <c r="E225" s="121" t="s">
        <v>1993</v>
      </c>
      <c r="F225" s="121" t="s">
        <v>1994</v>
      </c>
      <c r="G225" s="121" t="s">
        <v>1995</v>
      </c>
      <c r="H225" s="121" t="s">
        <v>1996</v>
      </c>
      <c r="I225" s="1">
        <v>837.260009765625</v>
      </c>
      <c r="J225" s="121" t="s">
        <v>1997</v>
      </c>
      <c r="K225" s="121" t="s">
        <v>1998</v>
      </c>
      <c r="M225" s="122">
        <v>45610</v>
      </c>
      <c r="N225" s="1">
        <f t="shared" si="64"/>
        <v>-1.4209730591479751E-2</v>
      </c>
      <c r="O225" s="1">
        <f t="shared" si="65"/>
        <v>-2.8788446648143631E-2</v>
      </c>
      <c r="P225" s="1">
        <f t="shared" si="66"/>
        <v>-4.2847459214075213E-2</v>
      </c>
      <c r="Q225" s="1">
        <f t="shared" si="67"/>
        <v>-1.7755538864986785E-2</v>
      </c>
      <c r="R225" s="1">
        <f t="shared" si="68"/>
        <v>1.4122357454890848E-2</v>
      </c>
      <c r="S225" s="1">
        <f t="shared" si="69"/>
        <v>-4.0810434942320485E-2</v>
      </c>
      <c r="T225" s="1">
        <f t="shared" si="70"/>
        <v>-2.8247838999826417E-2</v>
      </c>
      <c r="U225" s="1">
        <f t="shared" si="71"/>
        <v>-1.6012655421609508E-2</v>
      </c>
      <c r="V225" s="1">
        <f t="shared" si="72"/>
        <v>-3.3112327047740149E-2</v>
      </c>
      <c r="W225" s="1">
        <f t="shared" si="73"/>
        <v>3.019697279048892E-2</v>
      </c>
      <c r="Y225" s="1">
        <f t="shared" si="74"/>
        <v>-1.5874689723786781E-2</v>
      </c>
      <c r="Z225" s="1">
        <f t="shared" si="75"/>
        <v>-3.0453405780450662E-2</v>
      </c>
      <c r="AA225" s="1">
        <f t="shared" si="76"/>
        <v>-4.4512418346382247E-2</v>
      </c>
      <c r="AB225" s="1">
        <f t="shared" si="77"/>
        <v>-1.9420497997293815E-2</v>
      </c>
      <c r="AC225" s="1">
        <f t="shared" si="78"/>
        <v>1.2457398322583817E-2</v>
      </c>
      <c r="AD225" s="1">
        <f t="shared" si="79"/>
        <v>-4.2475394074627519E-2</v>
      </c>
      <c r="AE225" s="1">
        <f t="shared" si="80"/>
        <v>-2.9912798132133447E-2</v>
      </c>
      <c r="AF225" s="1">
        <f t="shared" si="81"/>
        <v>-1.7677614553916539E-2</v>
      </c>
      <c r="AG225" s="1">
        <f t="shared" si="82"/>
        <v>-3.4777286180047183E-2</v>
      </c>
      <c r="AH225" s="1">
        <f t="shared" si="83"/>
        <v>2.8532013658181889E-2</v>
      </c>
      <c r="AW225" s="28"/>
    </row>
    <row r="226" spans="1:49" x14ac:dyDescent="0.3">
      <c r="A226" s="120">
        <v>45611</v>
      </c>
      <c r="B226" s="121" t="s">
        <v>1999</v>
      </c>
      <c r="C226" s="121" t="s">
        <v>2000</v>
      </c>
      <c r="D226" s="121" t="s">
        <v>2001</v>
      </c>
      <c r="E226" s="121" t="s">
        <v>2002</v>
      </c>
      <c r="F226" s="121" t="s">
        <v>2003</v>
      </c>
      <c r="G226" s="121" t="s">
        <v>2004</v>
      </c>
      <c r="H226" s="121" t="s">
        <v>2005</v>
      </c>
      <c r="I226" s="121" t="s">
        <v>2006</v>
      </c>
      <c r="J226" s="121" t="s">
        <v>2007</v>
      </c>
      <c r="K226" s="121" t="s">
        <v>2008</v>
      </c>
      <c r="M226" s="122">
        <v>45611</v>
      </c>
      <c r="N226" s="1">
        <f t="shared" si="64"/>
        <v>1.3332985939631833E-2</v>
      </c>
      <c r="O226" s="1">
        <f t="shared" si="65"/>
        <v>2.9436438473031828E-2</v>
      </c>
      <c r="P226" s="1">
        <f t="shared" si="66"/>
        <v>-4.5015221205199508E-3</v>
      </c>
      <c r="Q226" s="1">
        <f t="shared" si="67"/>
        <v>1.6159550359954915E-2</v>
      </c>
      <c r="R226" s="1">
        <f t="shared" si="68"/>
        <v>-1.1420776028595939E-3</v>
      </c>
      <c r="S226" s="1">
        <f t="shared" si="69"/>
        <v>5.7747775544013803E-4</v>
      </c>
      <c r="T226" s="1">
        <f t="shared" si="70"/>
        <v>1.8296359575323718E-3</v>
      </c>
      <c r="U226" s="1">
        <f t="shared" si="71"/>
        <v>2.7637698666718436E-2</v>
      </c>
      <c r="V226" s="1">
        <f t="shared" si="72"/>
        <v>-1.2972970588224476E-2</v>
      </c>
      <c r="W226" s="1">
        <f t="shared" si="73"/>
        <v>5.4664350493325818E-2</v>
      </c>
      <c r="Y226" s="1">
        <f t="shared" si="74"/>
        <v>1.1668026807324802E-2</v>
      </c>
      <c r="Z226" s="1">
        <f t="shared" si="75"/>
        <v>2.7771479340724797E-2</v>
      </c>
      <c r="AA226" s="1">
        <f t="shared" si="76"/>
        <v>-6.1664812528269821E-3</v>
      </c>
      <c r="AB226" s="1">
        <f t="shared" si="77"/>
        <v>1.4494591227647884E-2</v>
      </c>
      <c r="AC226" s="1">
        <f t="shared" si="78"/>
        <v>-2.8070367351666252E-3</v>
      </c>
      <c r="AD226" s="1">
        <f t="shared" si="79"/>
        <v>-1.0874813768668931E-3</v>
      </c>
      <c r="AE226" s="1">
        <f t="shared" si="80"/>
        <v>1.6467682522534064E-4</v>
      </c>
      <c r="AF226" s="1">
        <f t="shared" si="81"/>
        <v>2.5972739534411406E-2</v>
      </c>
      <c r="AG226" s="1">
        <f t="shared" si="82"/>
        <v>-1.4637929720531507E-2</v>
      </c>
      <c r="AH226" s="1">
        <f t="shared" si="83"/>
        <v>5.2999391361018784E-2</v>
      </c>
      <c r="AW226" s="28"/>
    </row>
    <row r="227" spans="1:49" x14ac:dyDescent="0.3">
      <c r="A227" s="120">
        <v>45614</v>
      </c>
      <c r="B227" s="121" t="s">
        <v>2009</v>
      </c>
      <c r="C227" s="121" t="s">
        <v>2010</v>
      </c>
      <c r="D227" s="121" t="s">
        <v>2011</v>
      </c>
      <c r="E227" s="121" t="s">
        <v>2012</v>
      </c>
      <c r="F227" s="121" t="s">
        <v>2013</v>
      </c>
      <c r="G227" s="121" t="s">
        <v>2014</v>
      </c>
      <c r="H227" s="121" t="s">
        <v>2015</v>
      </c>
      <c r="I227" s="121" t="s">
        <v>2016</v>
      </c>
      <c r="J227" s="1">
        <v>140.12744140625</v>
      </c>
      <c r="K227" s="1">
        <v>338.739990234375</v>
      </c>
      <c r="M227" s="122">
        <v>45614</v>
      </c>
      <c r="N227" s="1">
        <f t="shared" si="64"/>
        <v>1.1395580003015398E-3</v>
      </c>
      <c r="O227" s="1">
        <f t="shared" si="65"/>
        <v>3.3055989210622532E-3</v>
      </c>
      <c r="P227" s="1">
        <f t="shared" si="66"/>
        <v>1.432430133148224E-2</v>
      </c>
      <c r="Q227" s="1">
        <f t="shared" si="67"/>
        <v>1.5958550607148909E-2</v>
      </c>
      <c r="R227" s="1">
        <f t="shared" si="68"/>
        <v>-7.9489332111557249E-3</v>
      </c>
      <c r="S227" s="1">
        <f t="shared" si="69"/>
        <v>1.1994842480655136E-2</v>
      </c>
      <c r="T227" s="1">
        <f t="shared" si="70"/>
        <v>4.8707935132542238E-3</v>
      </c>
      <c r="U227" s="1">
        <f t="shared" si="71"/>
        <v>2.8249601210317585E-2</v>
      </c>
      <c r="V227" s="1">
        <f t="shared" si="72"/>
        <v>4.7787376011656717E-2</v>
      </c>
      <c r="W227" s="1">
        <f t="shared" si="73"/>
        <v>2.1205952424013741E-2</v>
      </c>
      <c r="Y227" s="1">
        <f t="shared" si="74"/>
        <v>-5.2540113200549138E-4</v>
      </c>
      <c r="Z227" s="1">
        <f t="shared" si="75"/>
        <v>1.6406397887552221E-3</v>
      </c>
      <c r="AA227" s="1">
        <f t="shared" si="76"/>
        <v>1.265934219917521E-2</v>
      </c>
      <c r="AB227" s="1">
        <f t="shared" si="77"/>
        <v>1.4293591474841879E-2</v>
      </c>
      <c r="AC227" s="1">
        <f t="shared" si="78"/>
        <v>-9.6138923434627554E-3</v>
      </c>
      <c r="AD227" s="1">
        <f t="shared" si="79"/>
        <v>1.0329883348348105E-2</v>
      </c>
      <c r="AE227" s="1">
        <f t="shared" si="80"/>
        <v>3.2058343809471925E-3</v>
      </c>
      <c r="AF227" s="1">
        <f t="shared" si="81"/>
        <v>2.6584642078010555E-2</v>
      </c>
      <c r="AG227" s="1">
        <f t="shared" si="82"/>
        <v>4.6122416879349683E-2</v>
      </c>
      <c r="AH227" s="1">
        <f t="shared" si="83"/>
        <v>1.954099329170671E-2</v>
      </c>
      <c r="AW227" s="28"/>
    </row>
    <row r="228" spans="1:49" x14ac:dyDescent="0.3">
      <c r="A228" s="120">
        <v>45615</v>
      </c>
      <c r="B228" s="121" t="s">
        <v>2017</v>
      </c>
      <c r="C228" s="121" t="s">
        <v>2018</v>
      </c>
      <c r="D228" s="121" t="s">
        <v>2019</v>
      </c>
      <c r="E228" s="121" t="s">
        <v>2020</v>
      </c>
      <c r="F228" s="121" t="s">
        <v>2021</v>
      </c>
      <c r="G228" s="121" t="s">
        <v>2022</v>
      </c>
      <c r="H228" s="121" t="s">
        <v>2023</v>
      </c>
      <c r="I228" s="121" t="s">
        <v>2024</v>
      </c>
      <c r="J228" s="121" t="s">
        <v>2025</v>
      </c>
      <c r="K228" s="1">
        <v>346</v>
      </c>
      <c r="M228" s="122">
        <v>45615</v>
      </c>
      <c r="N228" s="1">
        <f t="shared" si="64"/>
        <v>3.1490514805059436E-3</v>
      </c>
      <c r="O228" s="1">
        <f t="shared" si="65"/>
        <v>-1.2924785506876445E-2</v>
      </c>
      <c r="P228" s="1">
        <f t="shared" si="66"/>
        <v>-8.491035845115822E-3</v>
      </c>
      <c r="Q228" s="1">
        <f t="shared" si="67"/>
        <v>-1.2087012883952437E-2</v>
      </c>
      <c r="R228" s="1">
        <f t="shared" si="68"/>
        <v>-9.5480719807640134E-3</v>
      </c>
      <c r="S228" s="1">
        <f t="shared" si="69"/>
        <v>7.8643239563876161E-3</v>
      </c>
      <c r="T228" s="1">
        <f t="shared" si="70"/>
        <v>-5.5204900722411647E-3</v>
      </c>
      <c r="U228" s="1">
        <f t="shared" si="71"/>
        <v>1.4278025773443132E-2</v>
      </c>
      <c r="V228" s="1">
        <f t="shared" si="72"/>
        <v>-7.6476453951094189E-3</v>
      </c>
      <c r="W228" s="1">
        <f t="shared" si="73"/>
        <v>-1.1540326112982981E-2</v>
      </c>
      <c r="Y228" s="1">
        <f t="shared" si="74"/>
        <v>1.4840923481989124E-3</v>
      </c>
      <c r="Z228" s="1">
        <f t="shared" si="75"/>
        <v>-1.4589744639183475E-2</v>
      </c>
      <c r="AA228" s="1">
        <f t="shared" si="76"/>
        <v>-1.0155994977422853E-2</v>
      </c>
      <c r="AB228" s="1">
        <f t="shared" si="77"/>
        <v>-1.3751972016259467E-2</v>
      </c>
      <c r="AC228" s="1">
        <f t="shared" si="78"/>
        <v>-1.1213031113071044E-2</v>
      </c>
      <c r="AD228" s="1">
        <f t="shared" si="79"/>
        <v>6.1993648240805848E-3</v>
      </c>
      <c r="AE228" s="1">
        <f t="shared" si="80"/>
        <v>-7.1854492045481961E-3</v>
      </c>
      <c r="AF228" s="1">
        <f t="shared" si="81"/>
        <v>1.2613066641136102E-2</v>
      </c>
      <c r="AG228" s="1">
        <f t="shared" si="82"/>
        <v>-9.3126045274164494E-3</v>
      </c>
      <c r="AH228" s="1">
        <f t="shared" si="83"/>
        <v>-1.3205285245290011E-2</v>
      </c>
      <c r="AW228" s="28"/>
    </row>
    <row r="229" spans="1:49" x14ac:dyDescent="0.3">
      <c r="A229" s="120">
        <v>45616</v>
      </c>
      <c r="B229" s="121" t="s">
        <v>2026</v>
      </c>
      <c r="C229" s="121" t="s">
        <v>2027</v>
      </c>
      <c r="D229" s="121" t="s">
        <v>2028</v>
      </c>
      <c r="E229" s="121" t="s">
        <v>2029</v>
      </c>
      <c r="F229" s="121" t="s">
        <v>2030</v>
      </c>
      <c r="G229" s="121" t="s">
        <v>2031</v>
      </c>
      <c r="H229" s="121" t="s">
        <v>2032</v>
      </c>
      <c r="I229" s="121" t="s">
        <v>2033</v>
      </c>
      <c r="J229" s="121" t="s">
        <v>2034</v>
      </c>
      <c r="K229" s="121" t="s">
        <v>2035</v>
      </c>
      <c r="M229" s="122">
        <v>45616</v>
      </c>
      <c r="N229" s="1">
        <f t="shared" si="64"/>
        <v>-2.0982208685512891E-3</v>
      </c>
      <c r="O229" s="1">
        <f t="shared" si="65"/>
        <v>-7.9974271385175417E-4</v>
      </c>
      <c r="P229" s="1">
        <f t="shared" si="66"/>
        <v>-2.2430287385072877E-2</v>
      </c>
      <c r="Q229" s="1">
        <f t="shared" si="67"/>
        <v>-4.8611238944707459E-2</v>
      </c>
      <c r="R229" s="1">
        <f t="shared" si="68"/>
        <v>1.6394479398318711E-2</v>
      </c>
      <c r="S229" s="1">
        <f t="shared" si="69"/>
        <v>-4.3062241581287948E-3</v>
      </c>
      <c r="T229" s="1">
        <f t="shared" si="70"/>
        <v>-4.3261085155848599E-3</v>
      </c>
      <c r="U229" s="1">
        <f t="shared" si="71"/>
        <v>1.5303476869766542E-2</v>
      </c>
      <c r="V229" s="1">
        <f t="shared" si="72"/>
        <v>5.3322670668772701E-3</v>
      </c>
      <c r="W229" s="1">
        <f t="shared" si="73"/>
        <v>-7.0121726842749948E-3</v>
      </c>
      <c r="Y229" s="1">
        <f t="shared" si="74"/>
        <v>-3.76318000085832E-3</v>
      </c>
      <c r="Z229" s="1">
        <f t="shared" si="75"/>
        <v>-2.4647018461587851E-3</v>
      </c>
      <c r="AA229" s="1">
        <f t="shared" si="76"/>
        <v>-2.4095246517379907E-2</v>
      </c>
      <c r="AB229" s="1">
        <f t="shared" si="77"/>
        <v>-5.0276198077014493E-2</v>
      </c>
      <c r="AC229" s="1">
        <f t="shared" si="78"/>
        <v>1.4729520266011681E-2</v>
      </c>
      <c r="AD229" s="1">
        <f t="shared" si="79"/>
        <v>-5.9711832904358261E-3</v>
      </c>
      <c r="AE229" s="1">
        <f t="shared" si="80"/>
        <v>-5.9910676478918913E-3</v>
      </c>
      <c r="AF229" s="1">
        <f t="shared" si="81"/>
        <v>1.3638517737459511E-2</v>
      </c>
      <c r="AG229" s="1">
        <f t="shared" si="82"/>
        <v>3.6673079345702388E-3</v>
      </c>
      <c r="AH229" s="1">
        <f t="shared" si="83"/>
        <v>-8.6771318165820253E-3</v>
      </c>
      <c r="AW229" s="28"/>
    </row>
    <row r="230" spans="1:49" x14ac:dyDescent="0.3">
      <c r="A230" s="120">
        <v>45617</v>
      </c>
      <c r="B230" s="121" t="s">
        <v>2036</v>
      </c>
      <c r="C230" s="121" t="s">
        <v>2037</v>
      </c>
      <c r="D230" s="121" t="s">
        <v>2038</v>
      </c>
      <c r="E230" s="121" t="s">
        <v>2039</v>
      </c>
      <c r="F230" s="121" t="s">
        <v>2040</v>
      </c>
      <c r="G230" s="121" t="s">
        <v>2041</v>
      </c>
      <c r="H230" s="121" t="s">
        <v>2042</v>
      </c>
      <c r="I230" s="1">
        <v>897.47998046875</v>
      </c>
      <c r="J230" s="121" t="s">
        <v>2043</v>
      </c>
      <c r="K230" s="121" t="s">
        <v>2044</v>
      </c>
      <c r="M230" s="122">
        <v>45617</v>
      </c>
      <c r="N230" s="1">
        <f t="shared" si="64"/>
        <v>5.8901690533019104E-3</v>
      </c>
      <c r="O230" s="1">
        <f t="shared" si="65"/>
        <v>6.2355232070828766E-3</v>
      </c>
      <c r="P230" s="1">
        <f t="shared" si="66"/>
        <v>-6.37175235688548E-3</v>
      </c>
      <c r="Q230" s="1">
        <f t="shared" si="67"/>
        <v>-1.7269311654225697E-2</v>
      </c>
      <c r="R230" s="1">
        <f t="shared" si="68"/>
        <v>1.5365941568822618E-2</v>
      </c>
      <c r="S230" s="1">
        <f t="shared" si="69"/>
        <v>-7.0394573202978974E-3</v>
      </c>
      <c r="T230" s="1">
        <f t="shared" si="70"/>
        <v>9.9534466660594501E-3</v>
      </c>
      <c r="U230" s="1">
        <f t="shared" si="71"/>
        <v>3.4534924422589439E-4</v>
      </c>
      <c r="V230" s="1">
        <f t="shared" si="72"/>
        <v>-3.2710372200075097E-2</v>
      </c>
      <c r="W230" s="1">
        <f t="shared" si="73"/>
        <v>3.733453734846677E-2</v>
      </c>
      <c r="Y230" s="1">
        <f t="shared" si="74"/>
        <v>4.2252099209948791E-3</v>
      </c>
      <c r="Z230" s="1">
        <f t="shared" si="75"/>
        <v>4.5705640747758453E-3</v>
      </c>
      <c r="AA230" s="1">
        <f t="shared" si="76"/>
        <v>-8.0367114891925114E-3</v>
      </c>
      <c r="AB230" s="1">
        <f t="shared" si="77"/>
        <v>-1.8934270786532727E-2</v>
      </c>
      <c r="AC230" s="1">
        <f t="shared" si="78"/>
        <v>1.3700982436515588E-2</v>
      </c>
      <c r="AD230" s="1">
        <f t="shared" si="79"/>
        <v>-8.7044164526049288E-3</v>
      </c>
      <c r="AE230" s="1">
        <f t="shared" si="80"/>
        <v>8.2884875337524196E-3</v>
      </c>
      <c r="AF230" s="1">
        <f t="shared" si="81"/>
        <v>-1.3196098880811366E-3</v>
      </c>
      <c r="AG230" s="1">
        <f t="shared" si="82"/>
        <v>-3.4375331332382131E-2</v>
      </c>
      <c r="AH230" s="1">
        <f t="shared" si="83"/>
        <v>3.5669578216159736E-2</v>
      </c>
      <c r="AW230" s="28"/>
    </row>
    <row r="231" spans="1:49" x14ac:dyDescent="0.3">
      <c r="A231" s="120">
        <v>45618</v>
      </c>
      <c r="B231" s="121" t="s">
        <v>2045</v>
      </c>
      <c r="C231" s="121" t="s">
        <v>2046</v>
      </c>
      <c r="D231" s="121" t="s">
        <v>2047</v>
      </c>
      <c r="E231" s="121" t="s">
        <v>2048</v>
      </c>
      <c r="F231" s="121" t="s">
        <v>2049</v>
      </c>
      <c r="G231" s="121" t="s">
        <v>2050</v>
      </c>
      <c r="H231" s="1">
        <v>416.16552734375</v>
      </c>
      <c r="I231" s="121" t="s">
        <v>2051</v>
      </c>
      <c r="J231" s="121" t="s">
        <v>2052</v>
      </c>
      <c r="K231" s="121" t="s">
        <v>2053</v>
      </c>
      <c r="M231" s="122">
        <v>45618</v>
      </c>
      <c r="N231" s="1">
        <f t="shared" si="64"/>
        <v>1.2966421654383014E-2</v>
      </c>
      <c r="O231" s="1">
        <f t="shared" si="65"/>
        <v>1.9894735674474605E-2</v>
      </c>
      <c r="P231" s="1">
        <f t="shared" si="66"/>
        <v>2.1728540914005442E-2</v>
      </c>
      <c r="Q231" s="1">
        <f t="shared" si="67"/>
        <v>1.7388641066861176E-2</v>
      </c>
      <c r="R231" s="1">
        <f t="shared" si="68"/>
        <v>6.9761681303836748E-3</v>
      </c>
      <c r="S231" s="1">
        <f t="shared" si="69"/>
        <v>1.0620428565255744E-2</v>
      </c>
      <c r="T231" s="1">
        <f t="shared" si="70"/>
        <v>4.2834270600788258E-3</v>
      </c>
      <c r="U231" s="1">
        <f t="shared" si="71"/>
        <v>-3.652477710259483E-2</v>
      </c>
      <c r="V231" s="1">
        <f t="shared" si="72"/>
        <v>-4.2672844371179366E-2</v>
      </c>
      <c r="W231" s="1">
        <f t="shared" si="73"/>
        <v>-4.0430888534493267E-2</v>
      </c>
      <c r="Y231" s="1">
        <f t="shared" si="74"/>
        <v>1.1301462522075983E-2</v>
      </c>
      <c r="Z231" s="1">
        <f t="shared" si="75"/>
        <v>1.8229776542167574E-2</v>
      </c>
      <c r="AA231" s="1">
        <f t="shared" si="76"/>
        <v>2.0063581781698411E-2</v>
      </c>
      <c r="AB231" s="1">
        <f t="shared" si="77"/>
        <v>1.5723681934554146E-2</v>
      </c>
      <c r="AC231" s="1">
        <f t="shared" si="78"/>
        <v>5.3112089980766435E-3</v>
      </c>
      <c r="AD231" s="1">
        <f t="shared" si="79"/>
        <v>8.955469432948714E-3</v>
      </c>
      <c r="AE231" s="1">
        <f t="shared" si="80"/>
        <v>2.6184679277717945E-3</v>
      </c>
      <c r="AF231" s="1">
        <f t="shared" si="81"/>
        <v>-3.8189736234901864E-2</v>
      </c>
      <c r="AG231" s="1">
        <f t="shared" si="82"/>
        <v>-4.43378035034864E-2</v>
      </c>
      <c r="AH231" s="1">
        <f t="shared" si="83"/>
        <v>-4.2095847666800301E-2</v>
      </c>
      <c r="AW231" s="28"/>
    </row>
    <row r="232" spans="1:49" x14ac:dyDescent="0.3">
      <c r="A232" s="120">
        <v>45621</v>
      </c>
      <c r="B232" s="121" t="s">
        <v>2054</v>
      </c>
      <c r="C232" s="121" t="s">
        <v>1433</v>
      </c>
      <c r="D232" s="121" t="s">
        <v>2055</v>
      </c>
      <c r="E232" s="121" t="s">
        <v>2056</v>
      </c>
      <c r="F232" s="121" t="s">
        <v>2057</v>
      </c>
      <c r="G232" s="121" t="s">
        <v>2058</v>
      </c>
      <c r="H232" s="121" t="s">
        <v>2059</v>
      </c>
      <c r="I232" s="121" t="s">
        <v>2060</v>
      </c>
      <c r="J232" s="121" t="s">
        <v>2061</v>
      </c>
      <c r="K232" s="121" t="s">
        <v>2062</v>
      </c>
      <c r="M232" s="122">
        <v>45621</v>
      </c>
      <c r="N232" s="1">
        <f t="shared" si="64"/>
        <v>9.3604291105078424E-3</v>
      </c>
      <c r="O232" s="1">
        <f t="shared" si="65"/>
        <v>-2.4458838689907222E-2</v>
      </c>
      <c r="P232" s="1">
        <f t="shared" si="66"/>
        <v>3.1323582608235742E-2</v>
      </c>
      <c r="Q232" s="1">
        <f t="shared" si="67"/>
        <v>8.7300547602155981E-3</v>
      </c>
      <c r="R232" s="1">
        <f t="shared" si="68"/>
        <v>-1.2793492762078556E-3</v>
      </c>
      <c r="S232" s="1">
        <f t="shared" si="69"/>
        <v>1.4807157721547153E-2</v>
      </c>
      <c r="T232" s="1">
        <f t="shared" si="70"/>
        <v>2.1730205457666244E-2</v>
      </c>
      <c r="U232" s="1">
        <f t="shared" si="71"/>
        <v>8.0658463400975662E-3</v>
      </c>
      <c r="V232" s="1">
        <f t="shared" si="72"/>
        <v>6.5948895511767002E-3</v>
      </c>
      <c r="W232" s="1">
        <f t="shared" si="73"/>
        <v>-1.0637551538437609E-3</v>
      </c>
      <c r="Y232" s="1">
        <f t="shared" si="74"/>
        <v>7.6954699782008111E-3</v>
      </c>
      <c r="Z232" s="1">
        <f t="shared" si="75"/>
        <v>-2.6123797822214252E-2</v>
      </c>
      <c r="AA232" s="1">
        <f t="shared" si="76"/>
        <v>2.9658623475928712E-2</v>
      </c>
      <c r="AB232" s="1">
        <f t="shared" si="77"/>
        <v>7.0650956279085667E-3</v>
      </c>
      <c r="AC232" s="1">
        <f t="shared" si="78"/>
        <v>-2.9443084085148865E-3</v>
      </c>
      <c r="AD232" s="1">
        <f t="shared" si="79"/>
        <v>1.3142198589240123E-2</v>
      </c>
      <c r="AE232" s="1">
        <f t="shared" si="80"/>
        <v>2.0065246325359214E-2</v>
      </c>
      <c r="AF232" s="1">
        <f t="shared" si="81"/>
        <v>6.4008872077905348E-3</v>
      </c>
      <c r="AG232" s="1">
        <f t="shared" si="82"/>
        <v>4.9299304188696689E-3</v>
      </c>
      <c r="AH232" s="1">
        <f t="shared" si="83"/>
        <v>-2.728714286150792E-3</v>
      </c>
      <c r="AW232" s="28"/>
    </row>
    <row r="233" spans="1:49" x14ac:dyDescent="0.3">
      <c r="A233" s="120">
        <v>45622</v>
      </c>
      <c r="B233" s="121" t="s">
        <v>2063</v>
      </c>
      <c r="C233" s="121" t="s">
        <v>2064</v>
      </c>
      <c r="D233" s="121" t="s">
        <v>2065</v>
      </c>
      <c r="E233" s="121" t="s">
        <v>2066</v>
      </c>
      <c r="F233" s="121" t="s">
        <v>2067</v>
      </c>
      <c r="G233" s="121" t="s">
        <v>2068</v>
      </c>
      <c r="H233" s="1">
        <v>427.133544921875</v>
      </c>
      <c r="I233" s="121" t="s">
        <v>2069</v>
      </c>
      <c r="J233" s="121" t="s">
        <v>2070</v>
      </c>
      <c r="K233" s="121" t="s">
        <v>2071</v>
      </c>
      <c r="M233" s="122">
        <v>45622</v>
      </c>
      <c r="N233" s="1">
        <f t="shared" si="64"/>
        <v>-5.5318228122880223E-4</v>
      </c>
      <c r="O233" s="1">
        <f t="shared" si="65"/>
        <v>-1.0804570659789835E-2</v>
      </c>
      <c r="P233" s="1">
        <f t="shared" si="66"/>
        <v>-1.025151669420502E-2</v>
      </c>
      <c r="Q233" s="1">
        <f t="shared" si="67"/>
        <v>6.5017597813092707E-4</v>
      </c>
      <c r="R233" s="1">
        <f t="shared" si="68"/>
        <v>-7.2035388841181717E-4</v>
      </c>
      <c r="S233" s="1">
        <f t="shared" si="69"/>
        <v>-7.5956980090219868E-3</v>
      </c>
      <c r="T233" s="1">
        <f t="shared" si="70"/>
        <v>-1.17512827319867E-2</v>
      </c>
      <c r="U233" s="1">
        <f t="shared" si="71"/>
        <v>5.4174004315432388E-3</v>
      </c>
      <c r="V233" s="1">
        <f t="shared" si="72"/>
        <v>-1.1606770023825408E-2</v>
      </c>
      <c r="W233" s="1">
        <f t="shared" si="73"/>
        <v>-1.5914020837728918E-2</v>
      </c>
      <c r="Y233" s="1">
        <f t="shared" si="74"/>
        <v>-2.2181414135358335E-3</v>
      </c>
      <c r="Z233" s="1">
        <f t="shared" si="75"/>
        <v>-1.2469529792096866E-2</v>
      </c>
      <c r="AA233" s="1">
        <f t="shared" si="76"/>
        <v>-1.1916475826512051E-2</v>
      </c>
      <c r="AB233" s="1">
        <f t="shared" si="77"/>
        <v>-1.0147831541761042E-3</v>
      </c>
      <c r="AC233" s="1">
        <f t="shared" si="78"/>
        <v>-2.3853130207188485E-3</v>
      </c>
      <c r="AD233" s="1">
        <f t="shared" si="79"/>
        <v>-9.2606571413290182E-3</v>
      </c>
      <c r="AE233" s="1">
        <f t="shared" si="80"/>
        <v>-1.3416241864293731E-2</v>
      </c>
      <c r="AF233" s="1">
        <f t="shared" si="81"/>
        <v>3.7524412992362075E-3</v>
      </c>
      <c r="AG233" s="1">
        <f t="shared" si="82"/>
        <v>-1.3271729156132438E-2</v>
      </c>
      <c r="AH233" s="1">
        <f t="shared" si="83"/>
        <v>-1.7578979970035949E-2</v>
      </c>
      <c r="AW233" s="28"/>
    </row>
    <row r="234" spans="1:49" x14ac:dyDescent="0.3">
      <c r="A234" s="120">
        <v>45623</v>
      </c>
      <c r="B234" s="121" t="s">
        <v>2072</v>
      </c>
      <c r="C234" s="121" t="s">
        <v>2073</v>
      </c>
      <c r="D234" s="121" t="s">
        <v>2074</v>
      </c>
      <c r="E234" s="121" t="s">
        <v>2075</v>
      </c>
      <c r="F234" s="121" t="s">
        <v>2076</v>
      </c>
      <c r="G234" s="121" t="s">
        <v>2077</v>
      </c>
      <c r="H234" s="1">
        <v>422.1435546875</v>
      </c>
      <c r="I234" s="121" t="s">
        <v>2078</v>
      </c>
      <c r="J234" s="121" t="s">
        <v>2079</v>
      </c>
      <c r="K234" s="121" t="s">
        <v>2080</v>
      </c>
      <c r="M234" s="122">
        <v>45623</v>
      </c>
      <c r="N234" s="1">
        <f t="shared" si="64"/>
        <v>1.0164002412877455E-2</v>
      </c>
      <c r="O234" s="1">
        <f t="shared" si="65"/>
        <v>6.8758020056791797E-3</v>
      </c>
      <c r="P234" s="1">
        <f t="shared" si="66"/>
        <v>1.0395828320658754E-2</v>
      </c>
      <c r="Q234" s="1">
        <f t="shared" si="67"/>
        <v>-1.6559243723157828E-3</v>
      </c>
      <c r="R234" s="1">
        <f t="shared" si="68"/>
        <v>-2.8021640160352318E-4</v>
      </c>
      <c r="S234" s="1">
        <f t="shared" si="69"/>
        <v>8.9548694040023687E-3</v>
      </c>
      <c r="T234" s="1">
        <f t="shared" si="70"/>
        <v>1.1105103310728097E-3</v>
      </c>
      <c r="U234" s="1">
        <f t="shared" si="71"/>
        <v>1.0736118282805214E-2</v>
      </c>
      <c r="V234" s="1">
        <f t="shared" si="72"/>
        <v>2.1273612001988702E-2</v>
      </c>
      <c r="W234" s="1">
        <f t="shared" si="73"/>
        <v>3.6195939167127801E-2</v>
      </c>
      <c r="Y234" s="1">
        <f t="shared" si="74"/>
        <v>8.4990432805704241E-3</v>
      </c>
      <c r="Z234" s="1">
        <f t="shared" si="75"/>
        <v>5.2108428733721483E-3</v>
      </c>
      <c r="AA234" s="1">
        <f t="shared" si="76"/>
        <v>8.7308691883517236E-3</v>
      </c>
      <c r="AB234" s="1">
        <f t="shared" si="77"/>
        <v>-3.3208835046228142E-3</v>
      </c>
      <c r="AC234" s="1">
        <f t="shared" si="78"/>
        <v>-1.9451755339105544E-3</v>
      </c>
      <c r="AD234" s="1">
        <f t="shared" si="79"/>
        <v>7.2899102716953374E-3</v>
      </c>
      <c r="AE234" s="1">
        <f t="shared" si="80"/>
        <v>-5.5444880123422147E-4</v>
      </c>
      <c r="AF234" s="1">
        <f t="shared" si="81"/>
        <v>9.0711591504981839E-3</v>
      </c>
      <c r="AG234" s="1">
        <f t="shared" si="82"/>
        <v>1.9608652869681671E-2</v>
      </c>
      <c r="AH234" s="1">
        <f t="shared" si="83"/>
        <v>3.4530980034820767E-2</v>
      </c>
      <c r="AW234" s="28"/>
    </row>
    <row r="235" spans="1:49" x14ac:dyDescent="0.3">
      <c r="A235" s="120">
        <v>45625</v>
      </c>
      <c r="B235" s="121" t="s">
        <v>2081</v>
      </c>
      <c r="C235" s="121" t="s">
        <v>2082</v>
      </c>
      <c r="D235" s="121" t="s">
        <v>2083</v>
      </c>
      <c r="E235" s="121" t="s">
        <v>2084</v>
      </c>
      <c r="F235" s="121" t="s">
        <v>2085</v>
      </c>
      <c r="G235" s="121" t="s">
        <v>2086</v>
      </c>
      <c r="H235" s="121" t="s">
        <v>2087</v>
      </c>
      <c r="I235" s="121" t="s">
        <v>2088</v>
      </c>
      <c r="J235" s="121" t="s">
        <v>2089</v>
      </c>
      <c r="K235" s="121" t="s">
        <v>2090</v>
      </c>
      <c r="M235" s="122">
        <v>45625</v>
      </c>
      <c r="N235" s="1">
        <f t="shared" si="64"/>
        <v>9.4775070673538131E-3</v>
      </c>
      <c r="O235" s="1">
        <f t="shared" si="65"/>
        <v>3.4955607704047917E-2</v>
      </c>
      <c r="P235" s="1">
        <f t="shared" si="66"/>
        <v>1.3473721668697685E-2</v>
      </c>
      <c r="Q235" s="1">
        <f t="shared" si="67"/>
        <v>1.4922178148412815E-2</v>
      </c>
      <c r="R235" s="1">
        <f t="shared" si="68"/>
        <v>-1.3993043089455526E-2</v>
      </c>
      <c r="S235" s="1">
        <f t="shared" si="69"/>
        <v>3.1720940017067219E-2</v>
      </c>
      <c r="T235" s="1">
        <f t="shared" si="70"/>
        <v>1.7602679496119062E-2</v>
      </c>
      <c r="U235" s="1">
        <f t="shared" si="71"/>
        <v>1.2249731782305708E-2</v>
      </c>
      <c r="V235" s="1">
        <f t="shared" si="72"/>
        <v>2.7447988148074031E-3</v>
      </c>
      <c r="W235" s="1">
        <f t="shared" si="73"/>
        <v>3.3979752342477396E-2</v>
      </c>
      <c r="Y235" s="1">
        <f t="shared" si="74"/>
        <v>7.8125479350467826E-3</v>
      </c>
      <c r="Z235" s="1">
        <f t="shared" si="75"/>
        <v>3.3290648571740883E-2</v>
      </c>
      <c r="AA235" s="1">
        <f t="shared" si="76"/>
        <v>1.1808762536390655E-2</v>
      </c>
      <c r="AB235" s="1">
        <f t="shared" si="77"/>
        <v>1.3257219016105784E-2</v>
      </c>
      <c r="AC235" s="1">
        <f t="shared" si="78"/>
        <v>-1.5658002221762557E-2</v>
      </c>
      <c r="AD235" s="1">
        <f t="shared" si="79"/>
        <v>3.0055980884760188E-2</v>
      </c>
      <c r="AE235" s="1">
        <f t="shared" si="80"/>
        <v>1.5937720363812032E-2</v>
      </c>
      <c r="AF235" s="1">
        <f t="shared" si="81"/>
        <v>1.0584772649998677E-2</v>
      </c>
      <c r="AG235" s="1">
        <f t="shared" si="82"/>
        <v>1.0798396825003719E-3</v>
      </c>
      <c r="AH235" s="1">
        <f t="shared" si="83"/>
        <v>3.2314793210170362E-2</v>
      </c>
      <c r="AW235" s="28"/>
    </row>
    <row r="236" spans="1:49" x14ac:dyDescent="0.3">
      <c r="A236" s="120">
        <v>45628</v>
      </c>
      <c r="B236" s="121" t="s">
        <v>2091</v>
      </c>
      <c r="C236" s="121" t="s">
        <v>2092</v>
      </c>
      <c r="D236" s="121" t="s">
        <v>2093</v>
      </c>
      <c r="E236" s="121" t="s">
        <v>2094</v>
      </c>
      <c r="F236" s="121" t="s">
        <v>2095</v>
      </c>
      <c r="G236" s="1">
        <v>591.82568359375</v>
      </c>
      <c r="H236" s="121" t="s">
        <v>2096</v>
      </c>
      <c r="I236" s="1">
        <v>897.739990234375</v>
      </c>
      <c r="J236" s="121" t="s">
        <v>2097</v>
      </c>
      <c r="K236" s="121" t="s">
        <v>2098</v>
      </c>
      <c r="M236" s="122">
        <v>45628</v>
      </c>
      <c r="N236" s="1">
        <f t="shared" si="64"/>
        <v>1.2690952567357212E-2</v>
      </c>
      <c r="O236" s="1">
        <f t="shared" si="65"/>
        <v>-5.6331386467083696E-4</v>
      </c>
      <c r="P236" s="1">
        <f t="shared" si="66"/>
        <v>1.2872961773846923E-2</v>
      </c>
      <c r="Q236" s="1">
        <f t="shared" si="67"/>
        <v>-8.7508264131550906E-4</v>
      </c>
      <c r="R236" s="1">
        <f t="shared" si="68"/>
        <v>-5.8239735930472923E-3</v>
      </c>
      <c r="S236" s="1">
        <f t="shared" si="69"/>
        <v>3.4517053503417348E-2</v>
      </c>
      <c r="T236" s="1">
        <f t="shared" si="70"/>
        <v>5.102963787757609E-4</v>
      </c>
      <c r="U236" s="1">
        <f t="shared" si="71"/>
        <v>4.9224702202130422E-3</v>
      </c>
      <c r="V236" s="1">
        <f t="shared" si="72"/>
        <v>1.1689384648647216E-2</v>
      </c>
      <c r="W236" s="1">
        <f t="shared" si="73"/>
        <v>-1.6005713052795949E-2</v>
      </c>
      <c r="Y236" s="1">
        <f t="shared" si="74"/>
        <v>1.1025993435050181E-2</v>
      </c>
      <c r="Z236" s="1">
        <f t="shared" si="75"/>
        <v>-2.2282729969778682E-3</v>
      </c>
      <c r="AA236" s="1">
        <f t="shared" si="76"/>
        <v>1.1208002641539892E-2</v>
      </c>
      <c r="AB236" s="1">
        <f t="shared" si="77"/>
        <v>-2.54004177362254E-3</v>
      </c>
      <c r="AC236" s="1">
        <f t="shared" si="78"/>
        <v>-7.4889327253543237E-3</v>
      </c>
      <c r="AD236" s="1">
        <f t="shared" si="79"/>
        <v>3.2852094371110314E-2</v>
      </c>
      <c r="AE236" s="1">
        <f t="shared" si="80"/>
        <v>-1.1546627535312702E-3</v>
      </c>
      <c r="AF236" s="1">
        <f t="shared" si="81"/>
        <v>3.2575110879060109E-3</v>
      </c>
      <c r="AG236" s="1">
        <f t="shared" si="82"/>
        <v>1.0024425516340186E-2</v>
      </c>
      <c r="AH236" s="1">
        <f t="shared" si="83"/>
        <v>-1.767067218510298E-2</v>
      </c>
      <c r="AW236" s="28"/>
    </row>
    <row r="237" spans="1:49" x14ac:dyDescent="0.3">
      <c r="A237" s="120">
        <v>45629</v>
      </c>
      <c r="B237" s="121" t="s">
        <v>2099</v>
      </c>
      <c r="C237" s="121" t="s">
        <v>2100</v>
      </c>
      <c r="D237" s="121" t="s">
        <v>2101</v>
      </c>
      <c r="E237" s="121" t="s">
        <v>2102</v>
      </c>
      <c r="F237" s="121" t="s">
        <v>2103</v>
      </c>
      <c r="G237" s="121" t="s">
        <v>2104</v>
      </c>
      <c r="H237" s="121" t="s">
        <v>2105</v>
      </c>
      <c r="I237" s="121" t="s">
        <v>2106</v>
      </c>
      <c r="J237" s="121" t="s">
        <v>2107</v>
      </c>
      <c r="K237" s="121" t="s">
        <v>2108</v>
      </c>
      <c r="M237" s="122">
        <v>45629</v>
      </c>
      <c r="N237" s="1">
        <f t="shared" si="64"/>
        <v>1.4825158879700673E-3</v>
      </c>
      <c r="O237" s="1">
        <f t="shared" si="65"/>
        <v>1.4057718350552299E-2</v>
      </c>
      <c r="P237" s="1">
        <f t="shared" si="66"/>
        <v>2.1872981158047561E-2</v>
      </c>
      <c r="Q237" s="1">
        <f t="shared" si="67"/>
        <v>1.7529540444610844E-2</v>
      </c>
      <c r="R237" s="1">
        <f t="shared" si="68"/>
        <v>-5.8171311515570999E-3</v>
      </c>
      <c r="S237" s="1">
        <f t="shared" si="69"/>
        <v>2.1179365997144267E-4</v>
      </c>
      <c r="T237" s="1">
        <f t="shared" si="70"/>
        <v>1.4321805151120475E-2</v>
      </c>
      <c r="U237" s="1">
        <f t="shared" si="71"/>
        <v>9.8058006740302777E-3</v>
      </c>
      <c r="V237" s="1">
        <f t="shared" si="72"/>
        <v>3.4200925072592529E-2</v>
      </c>
      <c r="W237" s="1">
        <f t="shared" si="73"/>
        <v>1.8355288553428845E-2</v>
      </c>
      <c r="Y237" s="1">
        <f t="shared" si="74"/>
        <v>-1.8244324433696387E-4</v>
      </c>
      <c r="Z237" s="1">
        <f t="shared" si="75"/>
        <v>1.2392759218245269E-2</v>
      </c>
      <c r="AA237" s="1">
        <f t="shared" si="76"/>
        <v>2.020802202574053E-2</v>
      </c>
      <c r="AB237" s="1">
        <f t="shared" si="77"/>
        <v>1.5864581312303814E-2</v>
      </c>
      <c r="AC237" s="1">
        <f t="shared" si="78"/>
        <v>-7.4820902838641313E-3</v>
      </c>
      <c r="AD237" s="1">
        <f t="shared" si="79"/>
        <v>-1.4531654723355884E-3</v>
      </c>
      <c r="AE237" s="1">
        <f t="shared" si="80"/>
        <v>1.2656846018813445E-2</v>
      </c>
      <c r="AF237" s="1">
        <f t="shared" si="81"/>
        <v>8.1408415417232472E-3</v>
      </c>
      <c r="AG237" s="1">
        <f t="shared" si="82"/>
        <v>3.2535965940285495E-2</v>
      </c>
      <c r="AH237" s="1">
        <f t="shared" si="83"/>
        <v>1.6690329421121815E-2</v>
      </c>
      <c r="AW237" s="28"/>
    </row>
    <row r="238" spans="1:49" x14ac:dyDescent="0.3">
      <c r="A238" s="120">
        <v>45630</v>
      </c>
      <c r="B238" s="121" t="s">
        <v>2109</v>
      </c>
      <c r="C238" s="121" t="s">
        <v>2110</v>
      </c>
      <c r="D238" s="121" t="s">
        <v>2111</v>
      </c>
      <c r="E238" s="121" t="s">
        <v>2112</v>
      </c>
      <c r="F238" s="121" t="s">
        <v>2113</v>
      </c>
      <c r="G238" s="121" t="s">
        <v>2114</v>
      </c>
      <c r="H238" s="1">
        <v>436.544677734375</v>
      </c>
      <c r="I238" s="121" t="s">
        <v>2115</v>
      </c>
      <c r="J238" s="121" t="s">
        <v>2116</v>
      </c>
      <c r="K238" s="121" t="s">
        <v>2117</v>
      </c>
      <c r="M238" s="122">
        <v>45630</v>
      </c>
      <c r="N238" s="1">
        <f t="shared" si="64"/>
        <v>1.2344907684790733E-4</v>
      </c>
      <c r="O238" s="1">
        <f t="shared" si="65"/>
        <v>-1.8434058540652436E-2</v>
      </c>
      <c r="P238" s="1">
        <f t="shared" si="66"/>
        <v>1.0895685064300933E-2</v>
      </c>
      <c r="Q238" s="1">
        <f t="shared" si="67"/>
        <v>-9.9708699518132205E-3</v>
      </c>
      <c r="R238" s="1">
        <f t="shared" si="68"/>
        <v>8.5092670468815239E-3</v>
      </c>
      <c r="S238" s="1">
        <f t="shared" si="69"/>
        <v>-7.9332612747889698E-3</v>
      </c>
      <c r="T238" s="1">
        <f t="shared" si="70"/>
        <v>1.1817739015557981E-2</v>
      </c>
      <c r="U238" s="1">
        <f t="shared" si="71"/>
        <v>7.4470089704996899E-3</v>
      </c>
      <c r="V238" s="1">
        <f t="shared" si="72"/>
        <v>-4.8243222497002143E-4</v>
      </c>
      <c r="W238" s="1">
        <f t="shared" si="73"/>
        <v>3.1786233899454883E-2</v>
      </c>
      <c r="Y238" s="1">
        <f t="shared" si="74"/>
        <v>-1.5415100554591239E-3</v>
      </c>
      <c r="Z238" s="1">
        <f t="shared" si="75"/>
        <v>-2.0099017672959466E-2</v>
      </c>
      <c r="AA238" s="1">
        <f t="shared" si="76"/>
        <v>9.2307259319939026E-3</v>
      </c>
      <c r="AB238" s="1">
        <f t="shared" si="77"/>
        <v>-1.1635829084120251E-2</v>
      </c>
      <c r="AC238" s="1">
        <f t="shared" si="78"/>
        <v>6.8443079145744925E-3</v>
      </c>
      <c r="AD238" s="1">
        <f t="shared" si="79"/>
        <v>-9.5982204070960003E-3</v>
      </c>
      <c r="AE238" s="1">
        <f t="shared" si="80"/>
        <v>1.015277988325095E-2</v>
      </c>
      <c r="AF238" s="1">
        <f t="shared" si="81"/>
        <v>5.7820498381926586E-3</v>
      </c>
      <c r="AG238" s="1">
        <f t="shared" si="82"/>
        <v>-2.1473913572770528E-3</v>
      </c>
      <c r="AH238" s="1">
        <f t="shared" si="83"/>
        <v>3.0121274767147852E-2</v>
      </c>
      <c r="AW238" s="28"/>
    </row>
    <row r="239" spans="1:49" x14ac:dyDescent="0.3">
      <c r="A239" s="120">
        <v>45631</v>
      </c>
      <c r="B239" s="121" t="s">
        <v>2118</v>
      </c>
      <c r="C239" s="121" t="s">
        <v>2119</v>
      </c>
      <c r="D239" s="121" t="s">
        <v>2120</v>
      </c>
      <c r="E239" s="121" t="s">
        <v>2121</v>
      </c>
      <c r="F239" s="121" t="s">
        <v>2122</v>
      </c>
      <c r="G239" s="121" t="s">
        <v>2123</v>
      </c>
      <c r="H239" s="121" t="s">
        <v>2124</v>
      </c>
      <c r="I239" s="121" t="s">
        <v>2125</v>
      </c>
      <c r="J239" s="121" t="s">
        <v>2126</v>
      </c>
      <c r="K239" s="1">
        <v>369.489990234375</v>
      </c>
      <c r="M239" s="122">
        <v>45631</v>
      </c>
      <c r="N239" s="1">
        <f t="shared" si="64"/>
        <v>-8.2326088439708001E-4</v>
      </c>
      <c r="O239" s="1">
        <f t="shared" si="65"/>
        <v>-1.9789924672493287E-2</v>
      </c>
      <c r="P239" s="1">
        <f t="shared" si="66"/>
        <v>2.895772157471508E-2</v>
      </c>
      <c r="Q239" s="1">
        <f t="shared" si="67"/>
        <v>1.1919012045976105E-2</v>
      </c>
      <c r="R239" s="1">
        <f t="shared" si="68"/>
        <v>7.629311348583045E-3</v>
      </c>
      <c r="S239" s="1">
        <f t="shared" si="69"/>
        <v>2.4078426910091096E-2</v>
      </c>
      <c r="T239" s="1">
        <f t="shared" si="70"/>
        <v>2.1440584732315957E-3</v>
      </c>
      <c r="U239" s="1">
        <f t="shared" si="71"/>
        <v>1.8212642232589799E-2</v>
      </c>
      <c r="V239" s="1">
        <f t="shared" si="72"/>
        <v>-1.8226641732376619E-2</v>
      </c>
      <c r="W239" s="1">
        <f t="shared" si="73"/>
        <v>5.2021089596739345E-2</v>
      </c>
      <c r="Y239" s="1">
        <f t="shared" si="74"/>
        <v>-2.4882200167041114E-3</v>
      </c>
      <c r="Z239" s="1">
        <f t="shared" si="75"/>
        <v>-2.1454883804800318E-2</v>
      </c>
      <c r="AA239" s="1">
        <f t="shared" si="76"/>
        <v>2.7292762442408049E-2</v>
      </c>
      <c r="AB239" s="1">
        <f t="shared" si="77"/>
        <v>1.0254052913669074E-2</v>
      </c>
      <c r="AC239" s="1">
        <f t="shared" si="78"/>
        <v>5.9643522162760136E-3</v>
      </c>
      <c r="AD239" s="1">
        <f t="shared" si="79"/>
        <v>2.2413467777784066E-2</v>
      </c>
      <c r="AE239" s="1">
        <f t="shared" si="80"/>
        <v>4.790993409245646E-4</v>
      </c>
      <c r="AF239" s="1">
        <f t="shared" si="81"/>
        <v>1.6547683100282769E-2</v>
      </c>
      <c r="AG239" s="1">
        <f t="shared" si="82"/>
        <v>-1.989160086468365E-2</v>
      </c>
      <c r="AH239" s="1">
        <f t="shared" si="83"/>
        <v>5.0356130464432311E-2</v>
      </c>
      <c r="AW239" s="28"/>
    </row>
    <row r="240" spans="1:49" x14ac:dyDescent="0.3">
      <c r="A240" s="120">
        <v>45632</v>
      </c>
      <c r="B240" s="121" t="s">
        <v>2127</v>
      </c>
      <c r="C240" s="121" t="s">
        <v>2128</v>
      </c>
      <c r="D240" s="121" t="s">
        <v>2129</v>
      </c>
      <c r="E240" s="121" t="s">
        <v>2130</v>
      </c>
      <c r="F240" s="121" t="s">
        <v>2131</v>
      </c>
      <c r="G240" s="121" t="s">
        <v>2132</v>
      </c>
      <c r="H240" s="1">
        <v>442.682373046875</v>
      </c>
      <c r="I240" s="1">
        <v>934.739990234375</v>
      </c>
      <c r="J240" s="121" t="s">
        <v>2133</v>
      </c>
      <c r="K240" s="121" t="s">
        <v>2134</v>
      </c>
      <c r="M240" s="122">
        <v>45632</v>
      </c>
      <c r="N240" s="1">
        <f t="shared" si="64"/>
        <v>1.5972929877625081E-2</v>
      </c>
      <c r="O240" s="1">
        <f t="shared" si="65"/>
        <v>-5.7315480899673074E-2</v>
      </c>
      <c r="P240" s="1">
        <f t="shared" si="66"/>
        <v>-4.1490280720451883E-3</v>
      </c>
      <c r="Q240" s="1">
        <f t="shared" si="67"/>
        <v>4.9158827199347228E-3</v>
      </c>
      <c r="R240" s="1">
        <f t="shared" si="68"/>
        <v>-1.4455506653610669E-2</v>
      </c>
      <c r="S240" s="1">
        <f t="shared" si="69"/>
        <v>-1.6487385138826038E-2</v>
      </c>
      <c r="T240" s="1">
        <f t="shared" si="70"/>
        <v>5.5081043290010016E-3</v>
      </c>
      <c r="U240" s="1">
        <f t="shared" si="71"/>
        <v>-2.2777057199583759E-2</v>
      </c>
      <c r="V240" s="1">
        <f t="shared" si="72"/>
        <v>-2.5814789583073244E-2</v>
      </c>
      <c r="W240" s="1">
        <f t="shared" si="73"/>
        <v>1.463414895313009E-3</v>
      </c>
      <c r="Y240" s="1">
        <f t="shared" si="74"/>
        <v>1.430797074531805E-2</v>
      </c>
      <c r="Z240" s="1">
        <f t="shared" si="75"/>
        <v>-5.8980440031980108E-2</v>
      </c>
      <c r="AA240" s="1">
        <f t="shared" si="76"/>
        <v>-5.8139872043522197E-3</v>
      </c>
      <c r="AB240" s="1">
        <f t="shared" si="77"/>
        <v>3.2509235876276915E-3</v>
      </c>
      <c r="AC240" s="1">
        <f t="shared" si="78"/>
        <v>-1.6120465785917699E-2</v>
      </c>
      <c r="AD240" s="1">
        <f t="shared" si="79"/>
        <v>-1.8152344271133068E-2</v>
      </c>
      <c r="AE240" s="1">
        <f t="shared" si="80"/>
        <v>3.8431451966939702E-3</v>
      </c>
      <c r="AF240" s="1">
        <f t="shared" si="81"/>
        <v>-2.444201633189079E-2</v>
      </c>
      <c r="AG240" s="1">
        <f t="shared" si="82"/>
        <v>-2.7479748715380274E-2</v>
      </c>
      <c r="AH240" s="1">
        <f t="shared" si="83"/>
        <v>-2.0154423699402218E-4</v>
      </c>
      <c r="AW240" s="28"/>
    </row>
    <row r="241" spans="1:49" x14ac:dyDescent="0.3">
      <c r="A241" s="120">
        <v>45635</v>
      </c>
      <c r="B241" s="1">
        <v>246.47900390625</v>
      </c>
      <c r="C241" s="121" t="s">
        <v>2135</v>
      </c>
      <c r="D241" s="121" t="s">
        <v>2136</v>
      </c>
      <c r="E241" s="121" t="s">
        <v>2137</v>
      </c>
      <c r="F241" s="121" t="s">
        <v>2138</v>
      </c>
      <c r="G241" s="1">
        <v>612.530517578125</v>
      </c>
      <c r="H241" s="1">
        <v>445.12744140625</v>
      </c>
      <c r="I241" s="121" t="s">
        <v>2139</v>
      </c>
      <c r="J241" s="121" t="s">
        <v>2140</v>
      </c>
      <c r="K241" s="121" t="s">
        <v>2141</v>
      </c>
      <c r="M241" s="122">
        <v>45635</v>
      </c>
      <c r="N241" s="1">
        <f t="shared" si="64"/>
        <v>4.125199385402469E-3</v>
      </c>
      <c r="O241" s="1">
        <f t="shared" si="65"/>
        <v>-2.4207495346811998E-2</v>
      </c>
      <c r="P241" s="1">
        <f t="shared" si="66"/>
        <v>-4.6549995431571182E-3</v>
      </c>
      <c r="Q241" s="1">
        <f t="shared" si="67"/>
        <v>5.4376296993513401E-2</v>
      </c>
      <c r="R241" s="1">
        <f t="shared" si="68"/>
        <v>-3.9040684554318143E-3</v>
      </c>
      <c r="S241" s="1">
        <f t="shared" si="69"/>
        <v>9.3278043961675522E-3</v>
      </c>
      <c r="T241" s="1">
        <f t="shared" si="70"/>
        <v>-6.0493440832521022E-3</v>
      </c>
      <c r="U241" s="1">
        <f t="shared" si="71"/>
        <v>-3.7221611293019468E-4</v>
      </c>
      <c r="V241" s="1">
        <f t="shared" si="72"/>
        <v>-2.7312806527912376E-2</v>
      </c>
      <c r="W241" s="1">
        <f t="shared" si="73"/>
        <v>2.8328310501360695E-2</v>
      </c>
      <c r="Y241" s="1">
        <f t="shared" si="74"/>
        <v>2.4602402530954377E-3</v>
      </c>
      <c r="Z241" s="1">
        <f t="shared" si="75"/>
        <v>-2.5872454479119029E-2</v>
      </c>
      <c r="AA241" s="1">
        <f t="shared" si="76"/>
        <v>-6.3199586754641495E-3</v>
      </c>
      <c r="AB241" s="1">
        <f t="shared" si="77"/>
        <v>5.2711337861206367E-2</v>
      </c>
      <c r="AC241" s="1">
        <f t="shared" si="78"/>
        <v>-5.5690275877388453E-3</v>
      </c>
      <c r="AD241" s="1">
        <f t="shared" si="79"/>
        <v>7.6628452638605208E-3</v>
      </c>
      <c r="AE241" s="1">
        <f t="shared" si="80"/>
        <v>-7.7143032155591335E-3</v>
      </c>
      <c r="AF241" s="1">
        <f t="shared" si="81"/>
        <v>-2.0371752452372259E-3</v>
      </c>
      <c r="AG241" s="1">
        <f t="shared" si="82"/>
        <v>-2.8977765660219406E-2</v>
      </c>
      <c r="AH241" s="1">
        <f t="shared" si="83"/>
        <v>2.6663351369053664E-2</v>
      </c>
      <c r="AW241" s="28"/>
    </row>
    <row r="242" spans="1:49" x14ac:dyDescent="0.3">
      <c r="A242" s="120">
        <v>45636</v>
      </c>
      <c r="B242" s="121" t="s">
        <v>2142</v>
      </c>
      <c r="C242" s="121" t="s">
        <v>2143</v>
      </c>
      <c r="D242" s="121" t="s">
        <v>2144</v>
      </c>
      <c r="E242" s="121" t="s">
        <v>2145</v>
      </c>
      <c r="F242" s="121" t="s">
        <v>2146</v>
      </c>
      <c r="G242" s="121" t="s">
        <v>2147</v>
      </c>
      <c r="H242" s="121" t="s">
        <v>2148</v>
      </c>
      <c r="I242" s="121" t="s">
        <v>2149</v>
      </c>
      <c r="J242" s="121" t="s">
        <v>2150</v>
      </c>
      <c r="K242" s="1">
        <v>400.989990234375</v>
      </c>
      <c r="M242" s="122">
        <v>45636</v>
      </c>
      <c r="N242" s="1">
        <f t="shared" si="64"/>
        <v>-5.1794749087163078E-3</v>
      </c>
      <c r="O242" s="1">
        <f t="shared" si="65"/>
        <v>1.8690653134391891E-2</v>
      </c>
      <c r="P242" s="1">
        <f t="shared" si="66"/>
        <v>2.2930947041668617E-2</v>
      </c>
      <c r="Q242" s="1">
        <f t="shared" si="67"/>
        <v>5.3774415072163247E-2</v>
      </c>
      <c r="R242" s="1">
        <f t="shared" si="68"/>
        <v>2.754960366844487E-3</v>
      </c>
      <c r="S242" s="1">
        <f t="shared" si="69"/>
        <v>2.1342526012121533E-2</v>
      </c>
      <c r="T242" s="1">
        <f t="shared" si="70"/>
        <v>1.2686219947816586E-2</v>
      </c>
      <c r="U242" s="1">
        <f t="shared" si="71"/>
        <v>2.5094453572181385E-2</v>
      </c>
      <c r="V242" s="1">
        <f t="shared" si="72"/>
        <v>3.0908382355691801E-2</v>
      </c>
      <c r="W242" s="1">
        <f t="shared" si="73"/>
        <v>5.7611355114832813E-2</v>
      </c>
      <c r="Y242" s="1">
        <f t="shared" si="74"/>
        <v>-6.8444340410233392E-3</v>
      </c>
      <c r="Z242" s="1">
        <f t="shared" si="75"/>
        <v>1.7025694002084861E-2</v>
      </c>
      <c r="AA242" s="1">
        <f t="shared" si="76"/>
        <v>2.1265987909361586E-2</v>
      </c>
      <c r="AB242" s="1">
        <f t="shared" si="77"/>
        <v>5.2109455939856213E-2</v>
      </c>
      <c r="AC242" s="1">
        <f t="shared" si="78"/>
        <v>1.0900012345374558E-3</v>
      </c>
      <c r="AD242" s="1">
        <f t="shared" si="79"/>
        <v>1.9677566879814503E-2</v>
      </c>
      <c r="AE242" s="1">
        <f t="shared" si="80"/>
        <v>1.1021260815509555E-2</v>
      </c>
      <c r="AF242" s="1">
        <f t="shared" si="81"/>
        <v>2.3429494439874354E-2</v>
      </c>
      <c r="AG242" s="1">
        <f t="shared" si="82"/>
        <v>2.924342322338477E-2</v>
      </c>
      <c r="AH242" s="1">
        <f t="shared" si="83"/>
        <v>5.5946395982525779E-2</v>
      </c>
      <c r="AW242" s="28"/>
    </row>
    <row r="243" spans="1:49" x14ac:dyDescent="0.3">
      <c r="A243" s="120">
        <v>45637</v>
      </c>
      <c r="B243" s="121" t="s">
        <v>2151</v>
      </c>
      <c r="C243" s="121" t="s">
        <v>2152</v>
      </c>
      <c r="D243" s="121" t="s">
        <v>2153</v>
      </c>
      <c r="E243" s="121" t="s">
        <v>2154</v>
      </c>
      <c r="F243" s="121" t="s">
        <v>2155</v>
      </c>
      <c r="G243" s="121" t="s">
        <v>2156</v>
      </c>
      <c r="H243" s="121" t="s">
        <v>2157</v>
      </c>
      <c r="I243" s="121" t="s">
        <v>2158</v>
      </c>
      <c r="J243" s="121" t="s">
        <v>2159</v>
      </c>
      <c r="K243" s="121" t="s">
        <v>2160</v>
      </c>
      <c r="M243" s="122">
        <v>45637</v>
      </c>
      <c r="N243" s="1">
        <f t="shared" si="64"/>
        <v>5.9460727296436131E-3</v>
      </c>
      <c r="O243" s="1">
        <f t="shared" si="65"/>
        <v>3.4516790321865911E-3</v>
      </c>
      <c r="P243" s="1">
        <f t="shared" si="66"/>
        <v>-5.618085452274991E-3</v>
      </c>
      <c r="Q243" s="1">
        <f t="shared" si="67"/>
        <v>-1.7761683227281073E-2</v>
      </c>
      <c r="R243" s="1">
        <f t="shared" si="68"/>
        <v>-8.2464785663532037E-3</v>
      </c>
      <c r="S243" s="1">
        <f t="shared" si="69"/>
        <v>-2.9917342486013472E-3</v>
      </c>
      <c r="T243" s="1">
        <f t="shared" si="70"/>
        <v>1.2686847668064273E-3</v>
      </c>
      <c r="U243" s="1">
        <f t="shared" si="71"/>
        <v>-1.1825443347891002E-2</v>
      </c>
      <c r="V243" s="1">
        <f t="shared" si="72"/>
        <v>-1.4242058170756364E-2</v>
      </c>
      <c r="W243" s="1">
        <f t="shared" si="73"/>
        <v>-1.5827167140068557E-2</v>
      </c>
      <c r="Y243" s="1">
        <f t="shared" si="74"/>
        <v>4.2811135973365817E-3</v>
      </c>
      <c r="Z243" s="1">
        <f t="shared" si="75"/>
        <v>1.78671989987956E-3</v>
      </c>
      <c r="AA243" s="1">
        <f t="shared" si="76"/>
        <v>-7.2830445845820223E-3</v>
      </c>
      <c r="AB243" s="1">
        <f t="shared" si="77"/>
        <v>-1.9426642359588103E-2</v>
      </c>
      <c r="AC243" s="1">
        <f t="shared" si="78"/>
        <v>-9.9114376986602342E-3</v>
      </c>
      <c r="AD243" s="1">
        <f t="shared" si="79"/>
        <v>-4.6566933809083786E-3</v>
      </c>
      <c r="AE243" s="1">
        <f t="shared" si="80"/>
        <v>-3.962743655006038E-4</v>
      </c>
      <c r="AF243" s="1">
        <f t="shared" si="81"/>
        <v>-1.3490402480198033E-2</v>
      </c>
      <c r="AG243" s="1">
        <f t="shared" si="82"/>
        <v>-1.5907017303063396E-2</v>
      </c>
      <c r="AH243" s="1">
        <f t="shared" si="83"/>
        <v>-1.7492126272375588E-2</v>
      </c>
      <c r="AW243" s="28"/>
    </row>
    <row r="244" spans="1:49" x14ac:dyDescent="0.3">
      <c r="A244" s="120">
        <v>45638</v>
      </c>
      <c r="B244" s="121" t="s">
        <v>2161</v>
      </c>
      <c r="C244" s="121" t="s">
        <v>2162</v>
      </c>
      <c r="D244" s="121" t="s">
        <v>2163</v>
      </c>
      <c r="E244" s="121" t="s">
        <v>2164</v>
      </c>
      <c r="F244" s="121" t="s">
        <v>2165</v>
      </c>
      <c r="G244" s="121" t="s">
        <v>2166</v>
      </c>
      <c r="H244" s="121" t="s">
        <v>2167</v>
      </c>
      <c r="I244" s="121" t="s">
        <v>2168</v>
      </c>
      <c r="J244" s="121" t="s">
        <v>2169</v>
      </c>
      <c r="K244" s="121" t="s">
        <v>2170</v>
      </c>
      <c r="M244" s="122">
        <v>45638</v>
      </c>
      <c r="N244" s="1">
        <f t="shared" si="64"/>
        <v>6.853050861083277E-4</v>
      </c>
      <c r="O244" s="1">
        <f t="shared" si="65"/>
        <v>-2.8661060898722009E-2</v>
      </c>
      <c r="P244" s="1">
        <f t="shared" si="66"/>
        <v>-6.6165676638940876E-3</v>
      </c>
      <c r="Q244" s="1">
        <f t="shared" si="67"/>
        <v>-1.1210785723456873E-2</v>
      </c>
      <c r="R244" s="1">
        <f t="shared" si="68"/>
        <v>-6.6047435304068909E-3</v>
      </c>
      <c r="S244" s="1">
        <f t="shared" si="69"/>
        <v>-1.6689150604142791E-2</v>
      </c>
      <c r="T244" s="1">
        <f t="shared" si="70"/>
        <v>-5.1069178003435491E-3</v>
      </c>
      <c r="U244" s="1">
        <f t="shared" si="71"/>
        <v>-7.2434932877692227E-3</v>
      </c>
      <c r="V244" s="1">
        <f t="shared" si="72"/>
        <v>-2.2755800975867952E-2</v>
      </c>
      <c r="W244" s="1">
        <f t="shared" si="73"/>
        <v>4.244899941748094E-2</v>
      </c>
      <c r="Y244" s="1">
        <f t="shared" si="74"/>
        <v>-9.7965404619870344E-4</v>
      </c>
      <c r="Z244" s="1">
        <f t="shared" si="75"/>
        <v>-3.0326020031029039E-2</v>
      </c>
      <c r="AA244" s="1">
        <f t="shared" si="76"/>
        <v>-8.281526796201118E-3</v>
      </c>
      <c r="AB244" s="1">
        <f t="shared" si="77"/>
        <v>-1.2875744855763904E-2</v>
      </c>
      <c r="AC244" s="1">
        <f t="shared" si="78"/>
        <v>-8.2697026627139222E-3</v>
      </c>
      <c r="AD244" s="1">
        <f t="shared" si="79"/>
        <v>-1.8354109736449822E-2</v>
      </c>
      <c r="AE244" s="1">
        <f t="shared" si="80"/>
        <v>-6.7718769326505805E-3</v>
      </c>
      <c r="AF244" s="1">
        <f t="shared" si="81"/>
        <v>-8.908452420076254E-3</v>
      </c>
      <c r="AG244" s="1">
        <f t="shared" si="82"/>
        <v>-2.4420760108174983E-2</v>
      </c>
      <c r="AH244" s="1">
        <f t="shared" si="83"/>
        <v>4.0784040285173906E-2</v>
      </c>
      <c r="AW244" s="28"/>
    </row>
    <row r="245" spans="1:49" x14ac:dyDescent="0.3">
      <c r="A245" s="120">
        <v>45639</v>
      </c>
      <c r="B245" s="121" t="s">
        <v>2171</v>
      </c>
      <c r="C245" s="121" t="s">
        <v>2172</v>
      </c>
      <c r="D245" s="121" t="s">
        <v>2173</v>
      </c>
      <c r="E245" s="121" t="s">
        <v>2174</v>
      </c>
      <c r="F245" s="121" t="s">
        <v>2175</v>
      </c>
      <c r="G245" s="121" t="s">
        <v>2176</v>
      </c>
      <c r="H245" s="121" t="s">
        <v>2177</v>
      </c>
      <c r="I245" s="121" t="s">
        <v>2178</v>
      </c>
      <c r="J245" s="121" t="s">
        <v>2179</v>
      </c>
      <c r="K245" s="121" t="s">
        <v>2180</v>
      </c>
      <c r="M245" s="122">
        <v>45639</v>
      </c>
      <c r="N245" s="1">
        <f t="shared" si="64"/>
        <v>1.1659467955633301E-2</v>
      </c>
      <c r="O245" s="1">
        <f t="shared" si="65"/>
        <v>-1.7350257933560077E-3</v>
      </c>
      <c r="P245" s="1">
        <f t="shared" si="66"/>
        <v>2.3763519526408507E-2</v>
      </c>
      <c r="Q245" s="1">
        <f t="shared" si="67"/>
        <v>3.5400127837792929E-2</v>
      </c>
      <c r="R245" s="1">
        <f t="shared" si="68"/>
        <v>-1.5015185927024113E-3</v>
      </c>
      <c r="S245" s="1">
        <f t="shared" si="69"/>
        <v>7.057413678050798E-3</v>
      </c>
      <c r="T245" s="1">
        <f t="shared" si="70"/>
        <v>9.6122846718664605E-3</v>
      </c>
      <c r="U245" s="1">
        <f t="shared" si="71"/>
        <v>2.4022642145783315E-3</v>
      </c>
      <c r="V245" s="1">
        <f t="shared" si="72"/>
        <v>-1.6901875387809073E-2</v>
      </c>
      <c r="W245" s="1">
        <f t="shared" si="73"/>
        <v>5.9600573591800737E-2</v>
      </c>
      <c r="Y245" s="1">
        <f t="shared" si="74"/>
        <v>9.9945088233262709E-3</v>
      </c>
      <c r="Z245" s="1">
        <f t="shared" si="75"/>
        <v>-3.3999849256630388E-3</v>
      </c>
      <c r="AA245" s="1">
        <f t="shared" si="76"/>
        <v>2.2098560394101477E-2</v>
      </c>
      <c r="AB245" s="1">
        <f t="shared" si="77"/>
        <v>3.3735168705485895E-2</v>
      </c>
      <c r="AC245" s="1">
        <f t="shared" si="78"/>
        <v>-3.1664777250094422E-3</v>
      </c>
      <c r="AD245" s="1">
        <f t="shared" si="79"/>
        <v>5.3924545457437667E-3</v>
      </c>
      <c r="AE245" s="1">
        <f t="shared" si="80"/>
        <v>7.94732553955943E-3</v>
      </c>
      <c r="AF245" s="1">
        <f t="shared" si="81"/>
        <v>7.373050822713004E-4</v>
      </c>
      <c r="AG245" s="1">
        <f t="shared" si="82"/>
        <v>-1.8566834520116104E-2</v>
      </c>
      <c r="AH245" s="1">
        <f t="shared" si="83"/>
        <v>5.7935614459493703E-2</v>
      </c>
      <c r="AW245" s="28"/>
    </row>
    <row r="246" spans="1:49" x14ac:dyDescent="0.3">
      <c r="A246" s="120">
        <v>45642</v>
      </c>
      <c r="B246" s="121" t="s">
        <v>2181</v>
      </c>
      <c r="C246" s="121" t="s">
        <v>2182</v>
      </c>
      <c r="D246" s="121" t="s">
        <v>2183</v>
      </c>
      <c r="E246" s="121" t="s">
        <v>2184</v>
      </c>
      <c r="F246" s="121" t="s">
        <v>2185</v>
      </c>
      <c r="G246" s="121" t="s">
        <v>2186</v>
      </c>
      <c r="H246" s="121" t="s">
        <v>2187</v>
      </c>
      <c r="I246" s="121" t="s">
        <v>2188</v>
      </c>
      <c r="J246" s="121" t="s">
        <v>2189</v>
      </c>
      <c r="K246" s="121" t="s">
        <v>2190</v>
      </c>
      <c r="M246" s="122">
        <v>45642</v>
      </c>
      <c r="N246" s="1">
        <f t="shared" si="64"/>
        <v>9.6726226420553747E-3</v>
      </c>
      <c r="O246" s="1">
        <f t="shared" si="65"/>
        <v>-1.3269479232179615E-2</v>
      </c>
      <c r="P246" s="1">
        <f t="shared" si="66"/>
        <v>-7.671123770166462E-3</v>
      </c>
      <c r="Q246" s="1">
        <f t="shared" si="67"/>
        <v>-6.3253265660751104E-3</v>
      </c>
      <c r="R246" s="1">
        <f t="shared" si="68"/>
        <v>-5.1052474198439784E-3</v>
      </c>
      <c r="S246" s="1">
        <f t="shared" si="69"/>
        <v>-7.7190366481872342E-3</v>
      </c>
      <c r="T246" s="1">
        <f t="shared" si="70"/>
        <v>6.3352147289859389E-3</v>
      </c>
      <c r="U246" s="1">
        <f t="shared" si="71"/>
        <v>-2.1193373730554713E-3</v>
      </c>
      <c r="V246" s="1">
        <f t="shared" si="72"/>
        <v>-1.2271933750381037E-2</v>
      </c>
      <c r="W246" s="1">
        <f t="shared" si="73"/>
        <v>3.5724138195773116E-2</v>
      </c>
      <c r="Y246" s="1">
        <f t="shared" si="74"/>
        <v>8.0076635097483442E-3</v>
      </c>
      <c r="Z246" s="1">
        <f t="shared" si="75"/>
        <v>-1.4934438364486645E-2</v>
      </c>
      <c r="AA246" s="1">
        <f t="shared" si="76"/>
        <v>-9.3360829024734925E-3</v>
      </c>
      <c r="AB246" s="1">
        <f t="shared" si="77"/>
        <v>-7.9902856983821418E-3</v>
      </c>
      <c r="AC246" s="1">
        <f t="shared" si="78"/>
        <v>-6.7702065521510098E-3</v>
      </c>
      <c r="AD246" s="1">
        <f t="shared" si="79"/>
        <v>-9.3839957804942656E-3</v>
      </c>
      <c r="AE246" s="1">
        <f t="shared" si="80"/>
        <v>4.6702555966789076E-3</v>
      </c>
      <c r="AF246" s="1">
        <f t="shared" si="81"/>
        <v>-3.7842965053625022E-3</v>
      </c>
      <c r="AG246" s="1">
        <f t="shared" si="82"/>
        <v>-1.3936892882688068E-2</v>
      </c>
      <c r="AH246" s="1">
        <f t="shared" si="83"/>
        <v>3.4059179063466082E-2</v>
      </c>
      <c r="AW246" s="28"/>
    </row>
    <row r="247" spans="1:49" x14ac:dyDescent="0.3">
      <c r="A247" s="120">
        <v>45643</v>
      </c>
      <c r="B247" s="121" t="s">
        <v>2191</v>
      </c>
      <c r="C247" s="121" t="s">
        <v>2192</v>
      </c>
      <c r="D247" s="121" t="s">
        <v>2193</v>
      </c>
      <c r="E247" s="121" t="s">
        <v>2194</v>
      </c>
      <c r="F247" s="121" t="s">
        <v>2195</v>
      </c>
      <c r="G247" s="1">
        <v>618.889404296875</v>
      </c>
      <c r="H247" s="121" t="s">
        <v>2196</v>
      </c>
      <c r="I247" s="121" t="s">
        <v>2197</v>
      </c>
      <c r="J247" s="121" t="s">
        <v>2198</v>
      </c>
      <c r="K247" s="121" t="s">
        <v>2199</v>
      </c>
      <c r="M247" s="122">
        <v>45643</v>
      </c>
      <c r="N247" s="1">
        <f t="shared" si="64"/>
        <v>-2.1654546719869262E-2</v>
      </c>
      <c r="O247" s="1">
        <f t="shared" si="65"/>
        <v>-2.9300419933448726E-2</v>
      </c>
      <c r="P247" s="1">
        <f t="shared" si="66"/>
        <v>-4.7078410933271836E-2</v>
      </c>
      <c r="Q247" s="1">
        <f t="shared" si="67"/>
        <v>-3.6583769542778345E-2</v>
      </c>
      <c r="R247" s="1">
        <f t="shared" si="68"/>
        <v>-3.4095479301546446E-2</v>
      </c>
      <c r="S247" s="1">
        <f t="shared" si="69"/>
        <v>-3.6580526302244828E-2</v>
      </c>
      <c r="T247" s="1">
        <f t="shared" si="70"/>
        <v>-3.8284625279183547E-2</v>
      </c>
      <c r="U247" s="1">
        <f t="shared" si="71"/>
        <v>-3.271187261241866E-2</v>
      </c>
      <c r="V247" s="1">
        <f t="shared" si="72"/>
        <v>-1.1415430600467824E-2</v>
      </c>
      <c r="W247" s="1">
        <f t="shared" si="73"/>
        <v>-8.6424215252107542E-2</v>
      </c>
      <c r="Y247" s="1">
        <f t="shared" si="74"/>
        <v>-2.3319505852176292E-2</v>
      </c>
      <c r="Z247" s="1">
        <f t="shared" si="75"/>
        <v>-3.0965379065755756E-2</v>
      </c>
      <c r="AA247" s="1">
        <f t="shared" si="76"/>
        <v>-4.874337006557887E-2</v>
      </c>
      <c r="AB247" s="1">
        <f t="shared" si="77"/>
        <v>-3.8248728675085379E-2</v>
      </c>
      <c r="AC247" s="1">
        <f t="shared" si="78"/>
        <v>-3.5760438433853479E-2</v>
      </c>
      <c r="AD247" s="1">
        <f t="shared" si="79"/>
        <v>-3.8245485434551862E-2</v>
      </c>
      <c r="AE247" s="1">
        <f t="shared" si="80"/>
        <v>-3.9949584411490581E-2</v>
      </c>
      <c r="AF247" s="1">
        <f t="shared" si="81"/>
        <v>-3.4376831744725694E-2</v>
      </c>
      <c r="AG247" s="1">
        <f t="shared" si="82"/>
        <v>-1.3080389732774854E-2</v>
      </c>
      <c r="AH247" s="1">
        <f t="shared" si="83"/>
        <v>-8.8089174384414576E-2</v>
      </c>
      <c r="AW247" s="28"/>
    </row>
    <row r="248" spans="1:49" x14ac:dyDescent="0.3">
      <c r="A248" s="120">
        <v>45644</v>
      </c>
      <c r="B248" s="121" t="s">
        <v>2200</v>
      </c>
      <c r="C248" s="121" t="s">
        <v>2201</v>
      </c>
      <c r="D248" s="121" t="s">
        <v>2202</v>
      </c>
      <c r="E248" s="121" t="s">
        <v>2203</v>
      </c>
      <c r="F248" s="121" t="s">
        <v>2204</v>
      </c>
      <c r="G248" s="1">
        <v>596.6591796875</v>
      </c>
      <c r="H248" s="121" t="s">
        <v>2205</v>
      </c>
      <c r="I248" s="121" t="s">
        <v>2206</v>
      </c>
      <c r="J248" s="121" t="s">
        <v>2207</v>
      </c>
      <c r="K248" s="121" t="s">
        <v>2208</v>
      </c>
      <c r="M248" s="122">
        <v>45644</v>
      </c>
      <c r="N248" s="1">
        <f t="shared" si="64"/>
        <v>6.9902016141347306E-3</v>
      </c>
      <c r="O248" s="1">
        <f t="shared" si="65"/>
        <v>-2.1058719853419942E-2</v>
      </c>
      <c r="P248" s="1">
        <f t="shared" si="66"/>
        <v>1.248293187603782E-2</v>
      </c>
      <c r="Q248" s="1">
        <f t="shared" si="67"/>
        <v>5.8372075763261303E-4</v>
      </c>
      <c r="R248" s="1">
        <f t="shared" si="68"/>
        <v>1.1180112253862376E-2</v>
      </c>
      <c r="S248" s="1">
        <f t="shared" si="69"/>
        <v>-2.7164430962798164E-3</v>
      </c>
      <c r="T248" s="1">
        <f t="shared" si="70"/>
        <v>-8.234117974763274E-4</v>
      </c>
      <c r="U248" s="1">
        <f t="shared" si="71"/>
        <v>1.3943137460448007E-2</v>
      </c>
      <c r="V248" s="1">
        <f t="shared" si="72"/>
        <v>1.363697711622599E-2</v>
      </c>
      <c r="W248" s="1">
        <f t="shared" si="73"/>
        <v>-9.0380425166895501E-3</v>
      </c>
      <c r="Y248" s="1">
        <f t="shared" si="74"/>
        <v>5.3252424818276993E-3</v>
      </c>
      <c r="Z248" s="1">
        <f t="shared" si="75"/>
        <v>-2.2723678985726973E-2</v>
      </c>
      <c r="AA248" s="1">
        <f t="shared" si="76"/>
        <v>1.0817972743730789E-2</v>
      </c>
      <c r="AB248" s="1">
        <f t="shared" si="77"/>
        <v>-1.0812383746744182E-3</v>
      </c>
      <c r="AC248" s="1">
        <f t="shared" si="78"/>
        <v>9.5151531215553458E-3</v>
      </c>
      <c r="AD248" s="1">
        <f t="shared" si="79"/>
        <v>-4.3814022285868478E-3</v>
      </c>
      <c r="AE248" s="1">
        <f t="shared" si="80"/>
        <v>-2.4883709297833585E-3</v>
      </c>
      <c r="AF248" s="1">
        <f t="shared" si="81"/>
        <v>1.2278178328140977E-2</v>
      </c>
      <c r="AG248" s="1">
        <f t="shared" si="82"/>
        <v>1.197201798391896E-2</v>
      </c>
      <c r="AH248" s="1">
        <f t="shared" si="83"/>
        <v>-1.0703001648996581E-2</v>
      </c>
      <c r="AW248" s="28"/>
    </row>
    <row r="249" spans="1:49" x14ac:dyDescent="0.3">
      <c r="A249" s="120">
        <v>45645</v>
      </c>
      <c r="B249" s="121" t="s">
        <v>2209</v>
      </c>
      <c r="C249" s="121" t="s">
        <v>2210</v>
      </c>
      <c r="D249" s="121" t="s">
        <v>2211</v>
      </c>
      <c r="E249" s="121" t="s">
        <v>2212</v>
      </c>
      <c r="F249" s="121" t="s">
        <v>2213</v>
      </c>
      <c r="G249" s="121" t="s">
        <v>2214</v>
      </c>
      <c r="H249" s="121" t="s">
        <v>2215</v>
      </c>
      <c r="I249" s="121" t="s">
        <v>2216</v>
      </c>
      <c r="J249" s="1">
        <v>130.66796875</v>
      </c>
      <c r="K249" s="121" t="s">
        <v>2217</v>
      </c>
      <c r="M249" s="122">
        <v>45645</v>
      </c>
      <c r="N249" s="1">
        <f t="shared" si="64"/>
        <v>1.8641043508313245E-2</v>
      </c>
      <c r="O249" s="1">
        <f t="shared" si="65"/>
        <v>2.7720781843290142E-3</v>
      </c>
      <c r="P249" s="1">
        <f t="shared" si="66"/>
        <v>7.2734303110851828E-3</v>
      </c>
      <c r="Q249" s="1">
        <f t="shared" si="67"/>
        <v>1.5266687540963565E-2</v>
      </c>
      <c r="R249" s="1">
        <f t="shared" si="68"/>
        <v>1.9721847396596378E-2</v>
      </c>
      <c r="S249" s="1">
        <f t="shared" si="69"/>
        <v>-1.7479763300807537E-2</v>
      </c>
      <c r="T249" s="1">
        <f t="shared" si="70"/>
        <v>-9.8439543204172975E-4</v>
      </c>
      <c r="U249" s="1">
        <f t="shared" si="71"/>
        <v>7.7412441184146153E-3</v>
      </c>
      <c r="V249" s="1">
        <f t="shared" si="72"/>
        <v>3.0298557333769249E-2</v>
      </c>
      <c r="W249" s="1">
        <f t="shared" si="73"/>
        <v>-3.5256770852825706E-2</v>
      </c>
      <c r="Y249" s="1">
        <f t="shared" si="74"/>
        <v>1.6976084376006215E-2</v>
      </c>
      <c r="Z249" s="1">
        <f t="shared" si="75"/>
        <v>1.107119052021983E-3</v>
      </c>
      <c r="AA249" s="1">
        <f t="shared" si="76"/>
        <v>5.6084711787781514E-3</v>
      </c>
      <c r="AB249" s="1">
        <f t="shared" si="77"/>
        <v>1.3601728408656534E-2</v>
      </c>
      <c r="AC249" s="1">
        <f t="shared" si="78"/>
        <v>1.8056888264289347E-2</v>
      </c>
      <c r="AD249" s="1">
        <f t="shared" si="79"/>
        <v>-1.9144722433114568E-2</v>
      </c>
      <c r="AE249" s="1">
        <f t="shared" si="80"/>
        <v>-2.6493545643487609E-3</v>
      </c>
      <c r="AF249" s="1">
        <f t="shared" si="81"/>
        <v>6.076284986107584E-3</v>
      </c>
      <c r="AG249" s="1">
        <f t="shared" si="82"/>
        <v>2.8633598201462218E-2</v>
      </c>
      <c r="AH249" s="1">
        <f t="shared" si="83"/>
        <v>-3.692172998513274E-2</v>
      </c>
      <c r="AW249" s="28"/>
    </row>
    <row r="250" spans="1:49" x14ac:dyDescent="0.3">
      <c r="A250" s="120">
        <v>45646</v>
      </c>
      <c r="B250" s="121" t="s">
        <v>2218</v>
      </c>
      <c r="C250" s="121" t="s">
        <v>2219</v>
      </c>
      <c r="D250" s="121" t="s">
        <v>2220</v>
      </c>
      <c r="E250" s="121" t="s">
        <v>2221</v>
      </c>
      <c r="F250" s="121" t="s">
        <v>2222</v>
      </c>
      <c r="G250" s="121" t="s">
        <v>2223</v>
      </c>
      <c r="H250" s="1">
        <v>435.726318359375</v>
      </c>
      <c r="I250" s="121" t="s">
        <v>2224</v>
      </c>
      <c r="J250" s="121" t="s">
        <v>2225</v>
      </c>
      <c r="K250" s="121" t="s">
        <v>2226</v>
      </c>
      <c r="M250" s="122">
        <v>45646</v>
      </c>
      <c r="N250" s="1">
        <f t="shared" si="64"/>
        <v>3.0602696112486719E-3</v>
      </c>
      <c r="O250" s="1">
        <f t="shared" si="65"/>
        <v>4.4221958057182299E-2</v>
      </c>
      <c r="P250" s="1">
        <f t="shared" si="66"/>
        <v>6.2224719096182397E-4</v>
      </c>
      <c r="Q250" s="1">
        <f t="shared" si="67"/>
        <v>1.668266207325033E-2</v>
      </c>
      <c r="R250" s="1">
        <f t="shared" si="68"/>
        <v>3.3193731839922897E-3</v>
      </c>
      <c r="S250" s="1">
        <f t="shared" si="69"/>
        <v>2.4640438144190799E-2</v>
      </c>
      <c r="T250" s="1">
        <f t="shared" si="70"/>
        <v>-3.0968459646052247E-3</v>
      </c>
      <c r="U250" s="1">
        <f t="shared" si="71"/>
        <v>2.6366666349675904E-3</v>
      </c>
      <c r="V250" s="1">
        <f t="shared" si="72"/>
        <v>3.6232419100689195E-2</v>
      </c>
      <c r="W250" s="1">
        <f t="shared" si="73"/>
        <v>2.2404263560536073E-2</v>
      </c>
      <c r="Y250" s="1">
        <f t="shared" si="74"/>
        <v>1.3953104789416408E-3</v>
      </c>
      <c r="Z250" s="1">
        <f t="shared" si="75"/>
        <v>4.2556998924875265E-2</v>
      </c>
      <c r="AA250" s="1">
        <f t="shared" si="76"/>
        <v>-1.0427119413452071E-3</v>
      </c>
      <c r="AB250" s="1">
        <f t="shared" si="77"/>
        <v>1.50177029409433E-2</v>
      </c>
      <c r="AC250" s="1">
        <f t="shared" si="78"/>
        <v>1.6544140516852586E-3</v>
      </c>
      <c r="AD250" s="1">
        <f t="shared" si="79"/>
        <v>2.2975479011883768E-2</v>
      </c>
      <c r="AE250" s="1">
        <f t="shared" si="80"/>
        <v>-4.761805096912256E-3</v>
      </c>
      <c r="AF250" s="1">
        <f t="shared" si="81"/>
        <v>9.7170750266055927E-4</v>
      </c>
      <c r="AG250" s="1">
        <f t="shared" si="82"/>
        <v>3.4567459968382161E-2</v>
      </c>
      <c r="AH250" s="1">
        <f t="shared" si="83"/>
        <v>2.0739304428229043E-2</v>
      </c>
      <c r="AW250" s="28"/>
    </row>
    <row r="251" spans="1:49" x14ac:dyDescent="0.3">
      <c r="A251" s="120">
        <v>45649</v>
      </c>
      <c r="B251" s="121" t="s">
        <v>2227</v>
      </c>
      <c r="C251" s="121" t="s">
        <v>2228</v>
      </c>
      <c r="D251" s="121" t="s">
        <v>2229</v>
      </c>
      <c r="E251" s="121" t="s">
        <v>2230</v>
      </c>
      <c r="F251" s="121" t="s">
        <v>2231</v>
      </c>
      <c r="G251" s="121" t="s">
        <v>2232</v>
      </c>
      <c r="H251" s="121" t="s">
        <v>2233</v>
      </c>
      <c r="I251" s="121" t="s">
        <v>2234</v>
      </c>
      <c r="J251" s="121" t="s">
        <v>2235</v>
      </c>
      <c r="K251" s="121" t="s">
        <v>2236</v>
      </c>
      <c r="M251" s="122">
        <v>45649</v>
      </c>
      <c r="N251" s="1">
        <f t="shared" si="64"/>
        <v>1.1412693717317296E-2</v>
      </c>
      <c r="O251" s="1">
        <f t="shared" si="65"/>
        <v>1.3472262800348071E-2</v>
      </c>
      <c r="P251" s="1">
        <f t="shared" si="66"/>
        <v>1.7573311182245796E-2</v>
      </c>
      <c r="Q251" s="1">
        <f t="shared" si="67"/>
        <v>7.575351010541501E-3</v>
      </c>
      <c r="R251" s="1">
        <f t="shared" si="68"/>
        <v>1.6309901333546338E-2</v>
      </c>
      <c r="S251" s="1">
        <f t="shared" si="69"/>
        <v>1.3084035275406063E-2</v>
      </c>
      <c r="T251" s="1">
        <f t="shared" si="70"/>
        <v>9.330197247678064E-3</v>
      </c>
      <c r="U251" s="1">
        <f t="shared" si="71"/>
        <v>2.2424805151832386E-2</v>
      </c>
      <c r="V251" s="1">
        <f t="shared" si="72"/>
        <v>3.9301766334103533E-3</v>
      </c>
      <c r="W251" s="1">
        <f t="shared" si="73"/>
        <v>7.0991166361919392E-2</v>
      </c>
      <c r="Y251" s="1">
        <f t="shared" si="74"/>
        <v>9.7477345850102651E-3</v>
      </c>
      <c r="Z251" s="1">
        <f t="shared" si="75"/>
        <v>1.1807303668041041E-2</v>
      </c>
      <c r="AA251" s="1">
        <f t="shared" si="76"/>
        <v>1.5908352049938766E-2</v>
      </c>
      <c r="AB251" s="1">
        <f t="shared" si="77"/>
        <v>5.9103918782344696E-3</v>
      </c>
      <c r="AC251" s="1">
        <f t="shared" si="78"/>
        <v>1.4644942201239308E-2</v>
      </c>
      <c r="AD251" s="1">
        <f t="shared" si="79"/>
        <v>1.1419076143099033E-2</v>
      </c>
      <c r="AE251" s="1">
        <f t="shared" si="80"/>
        <v>7.6652381153710326E-3</v>
      </c>
      <c r="AF251" s="1">
        <f t="shared" si="81"/>
        <v>2.0759846019525355E-2</v>
      </c>
      <c r="AG251" s="1">
        <f t="shared" si="82"/>
        <v>2.265217501103322E-3</v>
      </c>
      <c r="AH251" s="1">
        <f t="shared" si="83"/>
        <v>6.9326207229612358E-2</v>
      </c>
      <c r="AW251" s="28"/>
    </row>
    <row r="252" spans="1:49" x14ac:dyDescent="0.3">
      <c r="A252" s="120">
        <v>45650</v>
      </c>
      <c r="B252" s="121" t="s">
        <v>2237</v>
      </c>
      <c r="C252" s="121" t="s">
        <v>2238</v>
      </c>
      <c r="D252" s="121" t="s">
        <v>2239</v>
      </c>
      <c r="E252" s="121" t="s">
        <v>2240</v>
      </c>
      <c r="F252" s="121" t="s">
        <v>2241</v>
      </c>
      <c r="G252" s="121" t="s">
        <v>2242</v>
      </c>
      <c r="H252" s="121" t="s">
        <v>2243</v>
      </c>
      <c r="I252" s="121" t="s">
        <v>2244</v>
      </c>
      <c r="J252" s="121" t="s">
        <v>2245</v>
      </c>
      <c r="K252" s="121" t="s">
        <v>2246</v>
      </c>
      <c r="M252" s="122">
        <v>45650</v>
      </c>
      <c r="N252" s="1">
        <f t="shared" si="64"/>
        <v>3.1706527777162897E-3</v>
      </c>
      <c r="O252" s="1">
        <f t="shared" si="65"/>
        <v>-9.7872542902147763E-3</v>
      </c>
      <c r="P252" s="1">
        <f t="shared" si="66"/>
        <v>-8.7700626714288833E-3</v>
      </c>
      <c r="Q252" s="1">
        <f t="shared" si="67"/>
        <v>-2.6038975812336961E-3</v>
      </c>
      <c r="R252" s="1">
        <f t="shared" si="68"/>
        <v>3.4194861695471101E-3</v>
      </c>
      <c r="S252" s="1">
        <f t="shared" si="69"/>
        <v>-7.2662022401884839E-3</v>
      </c>
      <c r="T252" s="1">
        <f t="shared" si="70"/>
        <v>-2.7808214894332705E-3</v>
      </c>
      <c r="U252" s="1">
        <f t="shared" si="71"/>
        <v>-8.5979653569191825E-3</v>
      </c>
      <c r="V252" s="1">
        <f t="shared" si="72"/>
        <v>-2.0703537399416362E-3</v>
      </c>
      <c r="W252" s="1">
        <f t="shared" si="73"/>
        <v>-1.7787254049435895E-2</v>
      </c>
      <c r="Y252" s="1">
        <f t="shared" si="74"/>
        <v>1.5056936454092586E-3</v>
      </c>
      <c r="Z252" s="1">
        <f t="shared" si="75"/>
        <v>-1.1452213422521807E-2</v>
      </c>
      <c r="AA252" s="1">
        <f t="shared" si="76"/>
        <v>-1.0435021803735914E-2</v>
      </c>
      <c r="AB252" s="1">
        <f t="shared" si="77"/>
        <v>-4.2688567135407271E-3</v>
      </c>
      <c r="AC252" s="1">
        <f t="shared" si="78"/>
        <v>1.7545270372400789E-3</v>
      </c>
      <c r="AD252" s="1">
        <f t="shared" si="79"/>
        <v>-8.9311613724955153E-3</v>
      </c>
      <c r="AE252" s="1">
        <f t="shared" si="80"/>
        <v>-4.4457806217403015E-3</v>
      </c>
      <c r="AF252" s="1">
        <f t="shared" si="81"/>
        <v>-1.0262924489226213E-2</v>
      </c>
      <c r="AG252" s="1">
        <f t="shared" si="82"/>
        <v>-3.7353128722486676E-3</v>
      </c>
      <c r="AH252" s="1">
        <f t="shared" si="83"/>
        <v>-1.9452213181742926E-2</v>
      </c>
      <c r="AW252" s="28"/>
    </row>
    <row r="253" spans="1:49" x14ac:dyDescent="0.3">
      <c r="A253" s="120">
        <v>45652</v>
      </c>
      <c r="B253" s="121" t="s">
        <v>2247</v>
      </c>
      <c r="C253" s="121" t="s">
        <v>2248</v>
      </c>
      <c r="D253" s="121" t="s">
        <v>2249</v>
      </c>
      <c r="E253" s="1">
        <v>195.375</v>
      </c>
      <c r="F253" s="121" t="s">
        <v>2250</v>
      </c>
      <c r="G253" s="121" t="s">
        <v>2251</v>
      </c>
      <c r="H253" s="121" t="s">
        <v>2252</v>
      </c>
      <c r="I253" s="121" t="s">
        <v>2253</v>
      </c>
      <c r="J253" s="121" t="s">
        <v>2254</v>
      </c>
      <c r="K253" s="121" t="s">
        <v>2255</v>
      </c>
      <c r="M253" s="122">
        <v>45652</v>
      </c>
      <c r="N253" s="1">
        <f t="shared" si="64"/>
        <v>-1.3330586108352008E-2</v>
      </c>
      <c r="O253" s="1">
        <f t="shared" si="65"/>
        <v>1.0390001559101949E-3</v>
      </c>
      <c r="P253" s="1">
        <f t="shared" si="66"/>
        <v>-1.4640913829898123E-2</v>
      </c>
      <c r="Q253" s="1">
        <f t="shared" si="67"/>
        <v>-1.4625933799421554E-2</v>
      </c>
      <c r="R253" s="1">
        <f t="shared" si="68"/>
        <v>-8.1352946463926854E-3</v>
      </c>
      <c r="S253" s="1">
        <f t="shared" si="69"/>
        <v>-5.8844394166826814E-3</v>
      </c>
      <c r="T253" s="1">
        <f t="shared" si="70"/>
        <v>-1.7452984734140829E-2</v>
      </c>
      <c r="U253" s="1">
        <f t="shared" si="71"/>
        <v>-1.8114943577370455E-2</v>
      </c>
      <c r="V253" s="1">
        <f t="shared" si="72"/>
        <v>-2.1088435319170287E-2</v>
      </c>
      <c r="W253" s="1">
        <f t="shared" si="73"/>
        <v>-5.0745261602583087E-2</v>
      </c>
      <c r="Y253" s="1">
        <f t="shared" si="74"/>
        <v>-1.4995545240659039E-2</v>
      </c>
      <c r="Z253" s="1">
        <f t="shared" si="75"/>
        <v>-6.2595897639683624E-4</v>
      </c>
      <c r="AA253" s="1">
        <f t="shared" si="76"/>
        <v>-1.6305872962205155E-2</v>
      </c>
      <c r="AB253" s="1">
        <f t="shared" si="77"/>
        <v>-1.6290892931728584E-2</v>
      </c>
      <c r="AC253" s="1">
        <f t="shared" si="78"/>
        <v>-9.8002537786997159E-3</v>
      </c>
      <c r="AD253" s="1">
        <f t="shared" si="79"/>
        <v>-7.5493985489897128E-3</v>
      </c>
      <c r="AE253" s="1">
        <f t="shared" si="80"/>
        <v>-1.911794386644786E-2</v>
      </c>
      <c r="AF253" s="1">
        <f t="shared" si="81"/>
        <v>-1.9779902709677485E-2</v>
      </c>
      <c r="AG253" s="1">
        <f t="shared" si="82"/>
        <v>-2.2753394451477317E-2</v>
      </c>
      <c r="AH253" s="1">
        <f t="shared" si="83"/>
        <v>-5.2410220734890121E-2</v>
      </c>
      <c r="AW253" s="28"/>
    </row>
    <row r="254" spans="1:49" x14ac:dyDescent="0.3">
      <c r="A254" s="120">
        <v>45653</v>
      </c>
      <c r="B254" s="121" t="s">
        <v>2256</v>
      </c>
      <c r="C254" s="121" t="s">
        <v>2257</v>
      </c>
      <c r="D254" s="1">
        <v>223.75</v>
      </c>
      <c r="E254" s="121" t="s">
        <v>2258</v>
      </c>
      <c r="F254" s="121" t="s">
        <v>2259</v>
      </c>
      <c r="G254" s="1">
        <v>599.27685546875</v>
      </c>
      <c r="H254" s="1">
        <v>429.66845703125</v>
      </c>
      <c r="I254" s="121" t="s">
        <v>2260</v>
      </c>
      <c r="J254" s="121" t="s">
        <v>2261</v>
      </c>
      <c r="K254" s="121" t="s">
        <v>2262</v>
      </c>
      <c r="M254" s="122">
        <v>45653</v>
      </c>
      <c r="N254" s="1">
        <f t="shared" si="64"/>
        <v>-1.3352171986366146E-2</v>
      </c>
      <c r="O254" s="1">
        <f t="shared" si="65"/>
        <v>-2.2211468756353481E-2</v>
      </c>
      <c r="P254" s="1">
        <f t="shared" si="66"/>
        <v>-1.1010096307825321E-2</v>
      </c>
      <c r="Q254" s="1">
        <f t="shared" si="67"/>
        <v>-7.9166979690693789E-3</v>
      </c>
      <c r="R254" s="1">
        <f t="shared" si="68"/>
        <v>-7.7004688342450908E-3</v>
      </c>
      <c r="S254" s="1">
        <f t="shared" si="69"/>
        <v>-1.4391007632099367E-2</v>
      </c>
      <c r="T254" s="1">
        <f t="shared" si="70"/>
        <v>-1.3327930804746691E-2</v>
      </c>
      <c r="U254" s="1">
        <f t="shared" si="71"/>
        <v>-7.8762287209600927E-3</v>
      </c>
      <c r="V254" s="1">
        <f t="shared" si="72"/>
        <v>3.4973395909404987E-3</v>
      </c>
      <c r="W254" s="1">
        <f t="shared" si="73"/>
        <v>-3.3569288850867983E-2</v>
      </c>
      <c r="Y254" s="1">
        <f t="shared" si="74"/>
        <v>-1.5017131118673177E-2</v>
      </c>
      <c r="Z254" s="1">
        <f t="shared" si="75"/>
        <v>-2.3876427888660512E-2</v>
      </c>
      <c r="AA254" s="1">
        <f t="shared" si="76"/>
        <v>-1.2675055440132352E-2</v>
      </c>
      <c r="AB254" s="1">
        <f t="shared" si="77"/>
        <v>-9.5816571013764094E-3</v>
      </c>
      <c r="AC254" s="1">
        <f t="shared" si="78"/>
        <v>-9.3654279665521221E-3</v>
      </c>
      <c r="AD254" s="1">
        <f t="shared" si="79"/>
        <v>-1.6055966764406397E-2</v>
      </c>
      <c r="AE254" s="1">
        <f t="shared" si="80"/>
        <v>-1.4992889937053722E-2</v>
      </c>
      <c r="AF254" s="1">
        <f t="shared" si="81"/>
        <v>-9.5411878532671232E-3</v>
      </c>
      <c r="AG254" s="1">
        <f t="shared" si="82"/>
        <v>1.8323804586334676E-3</v>
      </c>
      <c r="AH254" s="1">
        <f t="shared" si="83"/>
        <v>-3.5234247983175017E-2</v>
      </c>
      <c r="AW254" s="28"/>
    </row>
    <row r="255" spans="1:49" x14ac:dyDescent="0.3">
      <c r="A255" s="120">
        <v>45656</v>
      </c>
      <c r="B255" s="121" t="s">
        <v>2263</v>
      </c>
      <c r="C255" s="121" t="s">
        <v>2264</v>
      </c>
      <c r="D255" s="121" t="s">
        <v>2265</v>
      </c>
      <c r="E255" s="121" t="s">
        <v>2266</v>
      </c>
      <c r="F255" s="121" t="s">
        <v>2267</v>
      </c>
      <c r="G255" s="121" t="s">
        <v>2268</v>
      </c>
      <c r="H255" s="121" t="s">
        <v>2269</v>
      </c>
      <c r="I255" s="121" t="s">
        <v>2270</v>
      </c>
      <c r="J255" s="121" t="s">
        <v>2271</v>
      </c>
      <c r="K255" s="121" t="s">
        <v>2272</v>
      </c>
      <c r="M255" s="122">
        <v>45656</v>
      </c>
      <c r="Y255" s="1">
        <f t="shared" si="74"/>
        <v>-1.6649591323070311E-3</v>
      </c>
      <c r="AW255" s="28"/>
    </row>
    <row r="256" spans="1:49" x14ac:dyDescent="0.3">
      <c r="A256" s="27"/>
      <c r="AW256" s="28"/>
    </row>
    <row r="257" spans="1:49" x14ac:dyDescent="0.3">
      <c r="A257" s="27"/>
      <c r="AW257" s="28"/>
    </row>
    <row r="258" spans="1:49" x14ac:dyDescent="0.3">
      <c r="A258" s="27"/>
      <c r="AW258" s="28"/>
    </row>
    <row r="259" spans="1:49" ht="14.5" thickBot="1" x14ac:dyDescent="0.35">
      <c r="A259" s="48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1"/>
    </row>
  </sheetData>
  <mergeCells count="4">
    <mergeCell ref="N3:W3"/>
    <mergeCell ref="Z3:AH3"/>
    <mergeCell ref="AK3:AT3"/>
    <mergeCell ref="B3:J3"/>
  </mergeCells>
  <hyperlinks>
    <hyperlink ref="AJ31" r:id="rId1" xr:uid="{2FCB7472-31B7-4A96-AF04-2F2464187F7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Home">
                <anchor moveWithCells="1" sizeWithCells="1">
                  <from>
                    <xdr:col>34</xdr:col>
                    <xdr:colOff>609600</xdr:colOff>
                    <xdr:row>1</xdr:row>
                    <xdr:rowOff>171450</xdr:rowOff>
                  </from>
                  <to>
                    <xdr:col>35</xdr:col>
                    <xdr:colOff>990600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5D65-3802-498D-88C2-4198237C1CF5}">
  <sheetPr codeName="Sheet18"/>
  <dimension ref="A1:Q375"/>
  <sheetViews>
    <sheetView showGridLines="0" workbookViewId="0">
      <selection activeCell="B1" sqref="B1"/>
    </sheetView>
  </sheetViews>
  <sheetFormatPr defaultRowHeight="14" x14ac:dyDescent="0.3"/>
  <cols>
    <col min="1" max="1" width="13.7265625" style="1" customWidth="1"/>
    <col min="2" max="2" width="9.453125" style="1" customWidth="1"/>
    <col min="3" max="4" width="8.81640625" style="1" bestFit="1" customWidth="1"/>
    <col min="5" max="5" width="5.26953125" style="1" customWidth="1"/>
    <col min="6" max="6" width="8.7265625" style="1"/>
    <col min="7" max="9" width="8.81640625" style="1" bestFit="1" customWidth="1"/>
    <col min="10" max="10" width="12.08984375" style="1" bestFit="1" customWidth="1"/>
    <col min="11" max="15" width="8.81640625" style="1" bestFit="1" customWidth="1"/>
    <col min="16" max="16" width="8.7265625" style="1"/>
    <col min="17" max="17" width="79.26953125" style="1" customWidth="1"/>
    <col min="18" max="16384" width="8.7265625" style="1"/>
  </cols>
  <sheetData>
    <row r="1" spans="1:17" ht="47.5" customHeight="1" thickBot="1" x14ac:dyDescent="0.35"/>
    <row r="2" spans="1:17" ht="49.5" customHeight="1" thickBot="1" x14ac:dyDescent="0.35">
      <c r="A2" s="188" t="s">
        <v>2317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90"/>
      <c r="Q2" s="87" t="s">
        <v>32</v>
      </c>
    </row>
    <row r="3" spans="1:17" ht="42" x14ac:dyDescent="0.3">
      <c r="A3" s="110" t="s">
        <v>2288</v>
      </c>
      <c r="B3" s="75" t="s">
        <v>2289</v>
      </c>
      <c r="C3" s="75" t="s">
        <v>2314</v>
      </c>
      <c r="D3" s="111" t="s">
        <v>2318</v>
      </c>
      <c r="E3" s="84"/>
      <c r="F3" s="1" t="s">
        <v>2291</v>
      </c>
      <c r="O3" s="75" t="s">
        <v>2292</v>
      </c>
      <c r="P3" s="106" t="s">
        <v>2324</v>
      </c>
      <c r="Q3" s="28"/>
    </row>
    <row r="4" spans="1:17" ht="14.5" thickBot="1" x14ac:dyDescent="0.35">
      <c r="A4" s="88">
        <v>32051</v>
      </c>
      <c r="B4" s="76">
        <v>7.2900000000000006E-2</v>
      </c>
      <c r="C4" s="1">
        <v>4.3557168784029009E-2</v>
      </c>
      <c r="D4" s="1">
        <v>5.7999999999999996E-2</v>
      </c>
      <c r="H4" s="194" t="s">
        <v>2319</v>
      </c>
      <c r="I4" s="194"/>
      <c r="J4" s="194"/>
      <c r="K4" s="194"/>
      <c r="O4" s="1">
        <f>$G$19+$G$20*C4+$G$21*D4</f>
        <v>6.3316275110032405E-2</v>
      </c>
      <c r="P4" s="112">
        <f>(O4-B4)/B4</f>
        <v>-0.13146399026018657</v>
      </c>
      <c r="Q4" s="28"/>
    </row>
    <row r="5" spans="1:17" x14ac:dyDescent="0.3">
      <c r="A5" s="88">
        <v>32143</v>
      </c>
      <c r="B5" s="76">
        <v>6.83E-2</v>
      </c>
      <c r="C5" s="1">
        <v>4.1292639138240522E-2</v>
      </c>
      <c r="D5" s="1">
        <v>5.7000000000000002E-2</v>
      </c>
      <c r="F5" s="77" t="s">
        <v>2293</v>
      </c>
      <c r="G5" s="77"/>
      <c r="I5" s="78" cm="1">
        <f t="array" ref="I5:K9">LINEST(B4:B80,C4:D80,TRUE,TRUE)</f>
        <v>-0.91195387276624529</v>
      </c>
      <c r="J5" s="78">
        <v>1.4364791136084847</v>
      </c>
      <c r="K5" s="78">
        <v>5.3640636524297472E-2</v>
      </c>
      <c r="O5" s="1">
        <f t="shared" ref="O5:O68" si="0">$G$19+$G$20*C5+$G$21*D5</f>
        <v>6.0975279444476248E-2</v>
      </c>
      <c r="P5" s="112">
        <f t="shared" ref="P5:P68" si="1">(O5-B5)/B5</f>
        <v>-0.10724334634734629</v>
      </c>
      <c r="Q5" s="28"/>
    </row>
    <row r="6" spans="1:17" x14ac:dyDescent="0.3">
      <c r="A6" s="88">
        <v>32234</v>
      </c>
      <c r="B6" s="76">
        <v>6.8699999999999997E-2</v>
      </c>
      <c r="C6" s="1">
        <v>3.9929015084294583E-2</v>
      </c>
      <c r="D6" s="1">
        <v>5.5E-2</v>
      </c>
      <c r="F6" s="1" t="s">
        <v>2294</v>
      </c>
      <c r="G6" s="1">
        <v>0.75097067855517197</v>
      </c>
      <c r="I6" s="1">
        <v>0.1864844004813101</v>
      </c>
      <c r="J6" s="1">
        <v>0.15773710290000995</v>
      </c>
      <c r="K6" s="1">
        <v>1.0780152019490891E-2</v>
      </c>
      <c r="O6" s="1">
        <f t="shared" si="0"/>
        <v>6.0840369717701279E-2</v>
      </c>
      <c r="P6" s="112">
        <f t="shared" si="1"/>
        <v>-0.11440509872341657</v>
      </c>
      <c r="Q6" s="28"/>
    </row>
    <row r="7" spans="1:17" x14ac:dyDescent="0.3">
      <c r="A7" s="88">
        <v>32325</v>
      </c>
      <c r="B7" s="76">
        <v>7.7499999999999999E-2</v>
      </c>
      <c r="C7" s="1">
        <v>4.1300527240773315E-2</v>
      </c>
      <c r="D7" s="1">
        <v>5.5E-2</v>
      </c>
      <c r="F7" s="1" t="s">
        <v>2295</v>
      </c>
      <c r="G7" s="1">
        <v>0.56395696004961549</v>
      </c>
      <c r="I7" s="1">
        <v>0.56395696004961549</v>
      </c>
      <c r="J7" s="1">
        <v>1.4884684712678094E-2</v>
      </c>
      <c r="K7" s="1" t="e">
        <v>#N/A</v>
      </c>
      <c r="O7" s="1">
        <f t="shared" si="0"/>
        <v>6.2810518284543107E-2</v>
      </c>
      <c r="P7" s="112">
        <f t="shared" si="1"/>
        <v>-0.18954169955428249</v>
      </c>
      <c r="Q7" s="28"/>
    </row>
    <row r="8" spans="1:17" x14ac:dyDescent="0.3">
      <c r="A8" s="88">
        <v>32417</v>
      </c>
      <c r="B8" s="76">
        <v>8.3000000000000004E-2</v>
      </c>
      <c r="C8" s="1">
        <v>4.2608695652173963E-2</v>
      </c>
      <c r="D8" s="1">
        <v>5.2999999999999999E-2</v>
      </c>
      <c r="F8" s="1" t="s">
        <v>2296</v>
      </c>
      <c r="G8" s="1">
        <v>0.55217201302392938</v>
      </c>
      <c r="I8" s="1">
        <v>47.854008916665833</v>
      </c>
      <c r="J8" s="1">
        <v>74</v>
      </c>
      <c r="K8" s="1" t="e">
        <v>#N/A</v>
      </c>
      <c r="O8" s="1">
        <f t="shared" si="0"/>
        <v>6.6513582630135029E-2</v>
      </c>
      <c r="P8" s="112">
        <f t="shared" si="1"/>
        <v>-0.19863153457668645</v>
      </c>
      <c r="Q8" s="28"/>
    </row>
    <row r="9" spans="1:17" x14ac:dyDescent="0.3">
      <c r="A9" s="88">
        <v>32509</v>
      </c>
      <c r="B9" s="76">
        <v>9.1200000000000003E-2</v>
      </c>
      <c r="C9" s="1">
        <v>4.4827586206896579E-2</v>
      </c>
      <c r="D9" s="1">
        <v>5.2000000000000005E-2</v>
      </c>
      <c r="F9" s="1" t="s">
        <v>2297</v>
      </c>
      <c r="G9" s="1">
        <v>1.4884684712678094E-2</v>
      </c>
      <c r="I9" s="1">
        <v>2.1204478773656273E-2</v>
      </c>
      <c r="J9" s="1">
        <v>1.6394984085691639E-2</v>
      </c>
      <c r="K9" s="1" t="e">
        <v>#N/A</v>
      </c>
      <c r="O9" s="1">
        <f t="shared" si="0"/>
        <v>7.0612926440143442E-2</v>
      </c>
      <c r="P9" s="112">
        <f t="shared" si="1"/>
        <v>-0.22573545570018158</v>
      </c>
      <c r="Q9" s="28"/>
    </row>
    <row r="10" spans="1:17" ht="14.5" thickBot="1" x14ac:dyDescent="0.35">
      <c r="A10" s="88">
        <v>32599</v>
      </c>
      <c r="B10" s="76">
        <v>9.8400000000000001E-2</v>
      </c>
      <c r="C10" s="1">
        <v>5.0341296928327568E-2</v>
      </c>
      <c r="D10" s="1">
        <v>5.2000000000000005E-2</v>
      </c>
      <c r="F10" s="30" t="s">
        <v>2298</v>
      </c>
      <c r="G10" s="30">
        <v>77</v>
      </c>
      <c r="H10" s="1" t="s">
        <v>2320</v>
      </c>
      <c r="I10" s="108">
        <f>I5/I6</f>
        <v>-4.8902421350661092</v>
      </c>
      <c r="J10" s="108">
        <f t="shared" ref="J10:K10" si="2">J5/J6</f>
        <v>9.1067928039674566</v>
      </c>
      <c r="K10" s="108">
        <f t="shared" si="2"/>
        <v>4.9758701386875925</v>
      </c>
      <c r="O10" s="1">
        <f t="shared" si="0"/>
        <v>7.8533256729958201E-2</v>
      </c>
      <c r="P10" s="112">
        <f t="shared" si="1"/>
        <v>-0.2018977974597744</v>
      </c>
      <c r="Q10" s="28"/>
    </row>
    <row r="11" spans="1:17" x14ac:dyDescent="0.3">
      <c r="A11" s="88">
        <v>32690</v>
      </c>
      <c r="B11" s="76">
        <v>9.2399999999999996E-2</v>
      </c>
      <c r="C11" s="1">
        <v>5.0632911392405063E-2</v>
      </c>
      <c r="D11" s="1">
        <v>5.2000000000000005E-2</v>
      </c>
      <c r="O11" s="1">
        <f t="shared" si="0"/>
        <v>7.8952154816831654E-2</v>
      </c>
      <c r="P11" s="112">
        <f t="shared" si="1"/>
        <v>-0.14553945003428942</v>
      </c>
      <c r="Q11" s="28"/>
    </row>
    <row r="12" spans="1:17" ht="14.5" thickBot="1" x14ac:dyDescent="0.35">
      <c r="A12" s="88">
        <v>32782</v>
      </c>
      <c r="B12" s="76">
        <v>8.8400000000000006E-2</v>
      </c>
      <c r="C12" s="1">
        <v>4.5871559633027519E-2</v>
      </c>
      <c r="D12" s="1">
        <v>5.4000000000000006E-2</v>
      </c>
      <c r="F12" s="1" t="s">
        <v>2299</v>
      </c>
      <c r="O12" s="1">
        <f t="shared" si="0"/>
        <v>7.0288664716410335E-2</v>
      </c>
      <c r="P12" s="112">
        <f t="shared" si="1"/>
        <v>-0.20487935841164787</v>
      </c>
      <c r="Q12" s="28"/>
    </row>
    <row r="13" spans="1:17" x14ac:dyDescent="0.3">
      <c r="A13" s="88">
        <v>32874</v>
      </c>
      <c r="B13" s="76">
        <v>8.2299999999999998E-2</v>
      </c>
      <c r="C13" s="1">
        <v>5.1980198019801957E-2</v>
      </c>
      <c r="D13" s="1">
        <v>5.2999999999999999E-2</v>
      </c>
      <c r="F13" s="79"/>
      <c r="G13" s="79" t="s">
        <v>2300</v>
      </c>
      <c r="H13" s="79" t="s">
        <v>2301</v>
      </c>
      <c r="I13" s="79" t="s">
        <v>2302</v>
      </c>
      <c r="J13" s="79" t="s">
        <v>59</v>
      </c>
      <c r="K13" s="79" t="s">
        <v>2303</v>
      </c>
      <c r="O13" s="1">
        <f t="shared" si="0"/>
        <v>7.9975550044365115E-2</v>
      </c>
      <c r="P13" s="112">
        <f t="shared" si="1"/>
        <v>-2.8243620360083634E-2</v>
      </c>
      <c r="Q13" s="28"/>
    </row>
    <row r="14" spans="1:17" x14ac:dyDescent="0.3">
      <c r="A14" s="88">
        <v>32964</v>
      </c>
      <c r="B14" s="76">
        <v>8.2600000000000007E-2</v>
      </c>
      <c r="C14" s="1">
        <v>4.7116165718927794E-2</v>
      </c>
      <c r="D14" s="1">
        <v>5.2999999999999999E-2</v>
      </c>
      <c r="F14" s="1" t="s">
        <v>2304</v>
      </c>
      <c r="G14" s="1">
        <v>2</v>
      </c>
      <c r="H14" s="1">
        <v>2.1204478773656273E-2</v>
      </c>
      <c r="I14" s="1">
        <v>1.0602239386828137E-2</v>
      </c>
      <c r="J14" s="1">
        <v>47.854008916665833</v>
      </c>
      <c r="K14" s="1">
        <v>4.5981832327491006E-14</v>
      </c>
      <c r="O14" s="1">
        <f t="shared" si="0"/>
        <v>7.2988469236242345E-2</v>
      </c>
      <c r="P14" s="112">
        <f t="shared" si="1"/>
        <v>-0.11636235791474166</v>
      </c>
      <c r="Q14" s="28"/>
    </row>
    <row r="15" spans="1:17" x14ac:dyDescent="0.3">
      <c r="A15" s="88">
        <v>33055</v>
      </c>
      <c r="B15" s="76">
        <v>8.1500000000000003E-2</v>
      </c>
      <c r="C15" s="1">
        <v>4.8192771084337352E-2</v>
      </c>
      <c r="D15" s="1">
        <v>5.7000000000000002E-2</v>
      </c>
      <c r="F15" s="1" t="s">
        <v>2305</v>
      </c>
      <c r="G15" s="1">
        <v>74</v>
      </c>
      <c r="H15" s="1">
        <v>1.6394984085691639E-2</v>
      </c>
      <c r="I15" s="1">
        <v>2.2155383899583297E-4</v>
      </c>
      <c r="O15" s="1">
        <f t="shared" si="0"/>
        <v>7.0887174866187008E-2</v>
      </c>
      <c r="P15" s="112">
        <f t="shared" si="1"/>
        <v>-0.13021871329831894</v>
      </c>
      <c r="Q15" s="28"/>
    </row>
    <row r="16" spans="1:17" ht="14.5" thickBot="1" x14ac:dyDescent="0.35">
      <c r="A16" s="88">
        <v>33147</v>
      </c>
      <c r="B16" s="76">
        <v>8.1100000000000005E-2</v>
      </c>
      <c r="C16" s="1">
        <v>6.3795853269537475E-2</v>
      </c>
      <c r="D16" s="1">
        <v>6.0999999999999999E-2</v>
      </c>
      <c r="F16" s="30" t="s">
        <v>2306</v>
      </c>
      <c r="G16" s="30">
        <v>76</v>
      </c>
      <c r="H16" s="30">
        <v>3.7599462859347912E-2</v>
      </c>
      <c r="I16" s="30"/>
      <c r="J16" s="30"/>
      <c r="K16" s="30"/>
      <c r="O16" s="1">
        <f t="shared" si="0"/>
        <v>8.9652861042078646E-2</v>
      </c>
      <c r="P16" s="112">
        <f t="shared" si="1"/>
        <v>0.10546067869394131</v>
      </c>
      <c r="Q16" s="28"/>
    </row>
    <row r="17" spans="1:17" ht="14.5" thickBot="1" x14ac:dyDescent="0.35">
      <c r="A17" s="88">
        <v>33239</v>
      </c>
      <c r="B17" s="76">
        <v>6.9099999999999995E-2</v>
      </c>
      <c r="C17" s="1">
        <v>5.6470588235294029E-2</v>
      </c>
      <c r="D17" s="1">
        <v>6.6000000000000003E-2</v>
      </c>
      <c r="O17" s="1">
        <f t="shared" si="0"/>
        <v>7.457050145491019E-2</v>
      </c>
      <c r="P17" s="112">
        <f t="shared" si="1"/>
        <v>7.9167893703476058E-2</v>
      </c>
      <c r="Q17" s="28"/>
    </row>
    <row r="18" spans="1:17" x14ac:dyDescent="0.3">
      <c r="A18" s="88">
        <v>33329</v>
      </c>
      <c r="B18" s="76">
        <v>5.91E-2</v>
      </c>
      <c r="C18" s="1">
        <v>4.8099301784328849E-2</v>
      </c>
      <c r="D18" s="1">
        <v>6.8000000000000005E-2</v>
      </c>
      <c r="E18" s="113"/>
      <c r="F18" s="79"/>
      <c r="G18" s="79" t="s">
        <v>2307</v>
      </c>
      <c r="H18" s="79" t="s">
        <v>2297</v>
      </c>
      <c r="I18" s="79" t="s">
        <v>2308</v>
      </c>
      <c r="J18" s="79" t="s">
        <v>2309</v>
      </c>
      <c r="K18" s="79" t="s">
        <v>2310</v>
      </c>
      <c r="L18" s="79" t="s">
        <v>2311</v>
      </c>
      <c r="M18" s="79" t="s">
        <v>2315</v>
      </c>
      <c r="N18" s="79" t="s">
        <v>2316</v>
      </c>
      <c r="O18" s="1">
        <f t="shared" si="0"/>
        <v>6.07214155685325E-2</v>
      </c>
      <c r="P18" s="112">
        <f t="shared" si="1"/>
        <v>2.7435119602918782E-2</v>
      </c>
      <c r="Q18" s="28"/>
    </row>
    <row r="19" spans="1:17" x14ac:dyDescent="0.3">
      <c r="A19" s="88">
        <v>33420</v>
      </c>
      <c r="B19" s="76">
        <v>5.8200000000000002E-2</v>
      </c>
      <c r="C19" s="1">
        <v>4.3678160919540146E-2</v>
      </c>
      <c r="D19" s="1">
        <v>6.9000000000000006E-2</v>
      </c>
      <c r="F19" s="1" t="s">
        <v>2312</v>
      </c>
      <c r="G19" s="78">
        <v>5.3640636524297472E-2</v>
      </c>
      <c r="H19" s="1">
        <v>1.0780152019490891E-2</v>
      </c>
      <c r="I19" s="108">
        <v>4.9758701386875925</v>
      </c>
      <c r="J19" s="1">
        <v>4.0999276467854334E-6</v>
      </c>
      <c r="K19" s="1">
        <v>3.216071474079929E-2</v>
      </c>
      <c r="L19" s="1">
        <v>7.5120558307795654E-2</v>
      </c>
      <c r="M19" s="1">
        <v>3.216071474079929E-2</v>
      </c>
      <c r="N19" s="1">
        <v>7.5120558307795654E-2</v>
      </c>
      <c r="O19" s="1">
        <f t="shared" si="0"/>
        <v>5.3458585185176336E-2</v>
      </c>
      <c r="P19" s="112">
        <f t="shared" si="1"/>
        <v>-8.1467608502124852E-2</v>
      </c>
      <c r="Q19" s="28"/>
    </row>
    <row r="20" spans="1:17" x14ac:dyDescent="0.3">
      <c r="A20" s="88">
        <v>33512</v>
      </c>
      <c r="B20" s="76">
        <v>5.21E-2</v>
      </c>
      <c r="C20" s="1">
        <v>2.8485757121439151E-2</v>
      </c>
      <c r="D20" s="1">
        <v>7.0999999999999994E-2</v>
      </c>
      <c r="F20" s="1" t="s">
        <v>2314</v>
      </c>
      <c r="G20" s="78">
        <v>1.4364791136084847</v>
      </c>
      <c r="H20" s="1">
        <v>0.15773710290000995</v>
      </c>
      <c r="I20" s="108">
        <v>9.1067928039674566</v>
      </c>
      <c r="J20" s="1">
        <v>1.0458387632697154E-13</v>
      </c>
      <c r="K20" s="1">
        <v>1.1221810752763841</v>
      </c>
      <c r="L20" s="1">
        <v>1.7507771519405853</v>
      </c>
      <c r="M20" s="1">
        <v>1.1221810752763841</v>
      </c>
      <c r="N20" s="1">
        <v>1.7507771519405853</v>
      </c>
      <c r="O20" s="1">
        <f t="shared" si="0"/>
        <v>2.9811106698165557E-2</v>
      </c>
      <c r="P20" s="112">
        <f t="shared" si="1"/>
        <v>-0.42780985224250373</v>
      </c>
      <c r="Q20" s="28"/>
    </row>
    <row r="21" spans="1:17" ht="14.5" thickBot="1" x14ac:dyDescent="0.35">
      <c r="A21" s="88">
        <v>33604</v>
      </c>
      <c r="B21" s="76">
        <v>4.0300000000000002E-2</v>
      </c>
      <c r="C21" s="1">
        <v>2.6726057906458968E-2</v>
      </c>
      <c r="D21" s="1">
        <v>7.400000000000001E-2</v>
      </c>
      <c r="F21" s="30" t="s">
        <v>2318</v>
      </c>
      <c r="G21" s="80">
        <v>-0.91195387276624529</v>
      </c>
      <c r="H21" s="30">
        <v>0.1864844004813101</v>
      </c>
      <c r="I21" s="83">
        <v>-4.8902421350661092</v>
      </c>
      <c r="J21" s="30">
        <v>5.70148242666075E-6</v>
      </c>
      <c r="K21" s="30">
        <v>-1.2835321518979961</v>
      </c>
      <c r="L21" s="30">
        <v>-0.54037559363449461</v>
      </c>
      <c r="M21" s="30">
        <v>-1.2835321518979961</v>
      </c>
      <c r="N21" s="30">
        <v>-0.54037559363449461</v>
      </c>
      <c r="O21" s="1">
        <f t="shared" si="0"/>
        <v>2.4547473911314524E-2</v>
      </c>
      <c r="P21" s="112">
        <f t="shared" si="1"/>
        <v>-0.39088154066217068</v>
      </c>
      <c r="Q21" s="28"/>
    </row>
    <row r="22" spans="1:17" x14ac:dyDescent="0.3">
      <c r="A22" s="88">
        <v>33695</v>
      </c>
      <c r="B22" s="76">
        <v>3.73E-2</v>
      </c>
      <c r="C22" s="1">
        <v>3.1828275351591502E-2</v>
      </c>
      <c r="D22" s="1">
        <v>7.5999999999999998E-2</v>
      </c>
      <c r="O22" s="1">
        <f t="shared" si="0"/>
        <v>3.005279495880378E-2</v>
      </c>
      <c r="P22" s="112">
        <f t="shared" si="1"/>
        <v>-0.19429504131893349</v>
      </c>
      <c r="Q22" s="28"/>
    </row>
    <row r="23" spans="1:17" x14ac:dyDescent="0.3">
      <c r="A23" s="88">
        <v>33786</v>
      </c>
      <c r="B23" s="76">
        <v>3.2500000000000001E-2</v>
      </c>
      <c r="C23" s="1">
        <v>3.1571218795888485E-2</v>
      </c>
      <c r="D23" s="1">
        <v>7.5999999999999998E-2</v>
      </c>
      <c r="O23" s="1">
        <f t="shared" si="0"/>
        <v>2.9683538585520253E-2</v>
      </c>
      <c r="P23" s="112">
        <f t="shared" si="1"/>
        <v>-8.6660351214761483E-2</v>
      </c>
      <c r="Q23" s="28"/>
    </row>
    <row r="24" spans="1:17" x14ac:dyDescent="0.3">
      <c r="A24" s="88">
        <v>33878</v>
      </c>
      <c r="B24" s="76">
        <v>3.1E-2</v>
      </c>
      <c r="C24" s="1">
        <v>3.2798833819241986E-2</v>
      </c>
      <c r="D24" s="1">
        <v>7.400000000000001E-2</v>
      </c>
      <c r="O24" s="1">
        <f t="shared" si="0"/>
        <v>3.3270889671652037E-2</v>
      </c>
      <c r="P24" s="112">
        <f t="shared" si="1"/>
        <v>7.3254505537162506E-2</v>
      </c>
      <c r="Q24" s="28"/>
    </row>
    <row r="25" spans="1:17" x14ac:dyDescent="0.3">
      <c r="A25" s="88">
        <v>33970</v>
      </c>
      <c r="B25" s="76">
        <v>3.0200000000000001E-2</v>
      </c>
      <c r="C25" s="1">
        <v>3.2537960954446853E-2</v>
      </c>
      <c r="D25" s="1">
        <v>7.0999999999999994E-2</v>
      </c>
      <c r="O25" s="1">
        <f t="shared" si="0"/>
        <v>3.563201286836537E-2</v>
      </c>
      <c r="P25" s="112">
        <f t="shared" si="1"/>
        <v>0.17986797577368771</v>
      </c>
      <c r="Q25" s="28"/>
    </row>
    <row r="26" spans="1:17" x14ac:dyDescent="0.3">
      <c r="A26" s="88">
        <v>34060</v>
      </c>
      <c r="B26" s="76">
        <v>2.9600000000000001E-2</v>
      </c>
      <c r="C26" s="1">
        <v>3.1563845050215249E-2</v>
      </c>
      <c r="D26" s="1">
        <v>7.0999999999999994E-2</v>
      </c>
      <c r="O26" s="1">
        <f t="shared" si="0"/>
        <v>3.4232715717702811E-2</v>
      </c>
      <c r="P26" s="112">
        <f t="shared" si="1"/>
        <v>0.15651066613860842</v>
      </c>
      <c r="Q26" s="28"/>
    </row>
    <row r="27" spans="1:17" x14ac:dyDescent="0.3">
      <c r="A27" s="88">
        <v>34151</v>
      </c>
      <c r="B27" s="76">
        <v>3.0599999999999999E-2</v>
      </c>
      <c r="C27" s="1">
        <v>2.8469750889679714E-2</v>
      </c>
      <c r="D27" s="1">
        <v>6.8000000000000005E-2</v>
      </c>
      <c r="O27" s="1">
        <f t="shared" si="0"/>
        <v>3.2523975698854263E-2</v>
      </c>
      <c r="P27" s="112">
        <f t="shared" si="1"/>
        <v>6.287502283837465E-2</v>
      </c>
      <c r="Q27" s="28"/>
    </row>
    <row r="28" spans="1:17" x14ac:dyDescent="0.3">
      <c r="A28" s="88">
        <v>34243</v>
      </c>
      <c r="B28" s="76">
        <v>2.9899999999999999E-2</v>
      </c>
      <c r="C28" s="1">
        <v>2.7522935779816557E-2</v>
      </c>
      <c r="D28" s="1">
        <v>6.6000000000000003E-2</v>
      </c>
      <c r="O28" s="1">
        <f t="shared" si="0"/>
        <v>3.298780331461941E-2</v>
      </c>
      <c r="P28" s="112">
        <f t="shared" si="1"/>
        <v>0.10327101386686992</v>
      </c>
      <c r="Q28" s="28"/>
    </row>
    <row r="29" spans="1:17" x14ac:dyDescent="0.3">
      <c r="A29" s="88">
        <v>34335</v>
      </c>
      <c r="B29" s="76">
        <v>3.0499999999999999E-2</v>
      </c>
      <c r="C29" s="1">
        <v>2.4509803921568627E-2</v>
      </c>
      <c r="D29" s="1">
        <v>6.6000000000000003E-2</v>
      </c>
      <c r="O29" s="1">
        <f t="shared" si="0"/>
        <v>2.8659502333697948E-2</v>
      </c>
      <c r="P29" s="112">
        <f t="shared" si="1"/>
        <v>-6.0344185780395139E-2</v>
      </c>
      <c r="Q29" s="28"/>
    </row>
    <row r="30" spans="1:17" x14ac:dyDescent="0.3">
      <c r="A30" s="88">
        <v>34425</v>
      </c>
      <c r="B30" s="76">
        <v>3.56E-2</v>
      </c>
      <c r="C30" s="1">
        <v>2.3643949930458812E-2</v>
      </c>
      <c r="D30" s="1">
        <v>6.2E-2</v>
      </c>
      <c r="O30" s="1">
        <f t="shared" si="0"/>
        <v>3.1063536651099122E-2</v>
      </c>
      <c r="P30" s="112">
        <f t="shared" si="1"/>
        <v>-0.12742874575564264</v>
      </c>
      <c r="Q30" s="28"/>
    </row>
    <row r="31" spans="1:17" x14ac:dyDescent="0.3">
      <c r="A31" s="88">
        <v>34516</v>
      </c>
      <c r="B31" s="76">
        <v>4.2599999999999999E-2</v>
      </c>
      <c r="C31" s="1">
        <v>2.6989619377162669E-2</v>
      </c>
      <c r="D31" s="1">
        <v>0.06</v>
      </c>
      <c r="O31" s="1">
        <f t="shared" si="0"/>
        <v>3.7693428677859769E-2</v>
      </c>
      <c r="P31" s="112">
        <f t="shared" si="1"/>
        <v>-0.11517773056667206</v>
      </c>
      <c r="Q31" s="28"/>
    </row>
    <row r="32" spans="1:17" x14ac:dyDescent="0.3">
      <c r="A32" s="88">
        <v>34608</v>
      </c>
      <c r="B32" s="76">
        <v>4.7600000000000003E-2</v>
      </c>
      <c r="C32" s="1">
        <v>2.609890109890118E-2</v>
      </c>
      <c r="D32" s="1">
        <v>5.5999999999999994E-2</v>
      </c>
      <c r="O32" s="1">
        <f t="shared" si="0"/>
        <v>4.006174596609282E-2</v>
      </c>
      <c r="P32" s="112">
        <f t="shared" si="1"/>
        <v>-0.15836668138460469</v>
      </c>
      <c r="Q32" s="28"/>
    </row>
    <row r="33" spans="1:17" x14ac:dyDescent="0.3">
      <c r="A33" s="88">
        <v>34700</v>
      </c>
      <c r="B33" s="76">
        <v>5.5300000000000002E-2</v>
      </c>
      <c r="C33" s="1">
        <v>2.8708133971291787E-2</v>
      </c>
      <c r="D33" s="1">
        <v>5.5E-2</v>
      </c>
      <c r="O33" s="1">
        <f t="shared" si="0"/>
        <v>4.4721808362588822E-2</v>
      </c>
      <c r="P33" s="112">
        <f t="shared" si="1"/>
        <v>-0.19128737138175733</v>
      </c>
      <c r="Q33" s="28"/>
    </row>
    <row r="34" spans="1:17" x14ac:dyDescent="0.3">
      <c r="A34" s="88">
        <v>34790</v>
      </c>
      <c r="B34" s="76">
        <v>6.0499999999999998E-2</v>
      </c>
      <c r="C34" s="1">
        <v>3.125000000000016E-2</v>
      </c>
      <c r="D34" s="1">
        <v>5.7000000000000002E-2</v>
      </c>
      <c r="O34" s="1">
        <f t="shared" si="0"/>
        <v>4.6549238076886872E-2</v>
      </c>
      <c r="P34" s="112">
        <f t="shared" si="1"/>
        <v>-0.23059110616715914</v>
      </c>
      <c r="Q34" s="28"/>
    </row>
    <row r="35" spans="1:17" x14ac:dyDescent="0.3">
      <c r="A35" s="88">
        <v>34881</v>
      </c>
      <c r="B35" s="76">
        <v>5.8500000000000003E-2</v>
      </c>
      <c r="C35" s="1">
        <v>2.8301886792452751E-2</v>
      </c>
      <c r="D35" s="1">
        <v>5.7000000000000002E-2</v>
      </c>
      <c r="O35" s="1">
        <f t="shared" si="0"/>
        <v>4.2314335029691695E-2</v>
      </c>
      <c r="P35" s="112">
        <f t="shared" si="1"/>
        <v>-0.27667803368048388</v>
      </c>
      <c r="Q35" s="28"/>
    </row>
    <row r="36" spans="1:17" x14ac:dyDescent="0.3">
      <c r="A36" s="88">
        <v>34973</v>
      </c>
      <c r="B36" s="76">
        <v>5.7599999999999998E-2</v>
      </c>
      <c r="C36" s="1">
        <v>2.7443105756358728E-2</v>
      </c>
      <c r="D36" s="1">
        <v>5.5999999999999994E-2</v>
      </c>
      <c r="O36" s="1">
        <f t="shared" si="0"/>
        <v>4.1992667880945835E-2</v>
      </c>
      <c r="P36" s="112">
        <f t="shared" si="1"/>
        <v>-0.2709606270669126</v>
      </c>
      <c r="Q36" s="28"/>
    </row>
    <row r="37" spans="1:17" x14ac:dyDescent="0.3">
      <c r="A37" s="88">
        <v>35065</v>
      </c>
      <c r="B37" s="76">
        <v>5.5599999999999997E-2</v>
      </c>
      <c r="C37" s="1">
        <v>2.790697674418597E-2</v>
      </c>
      <c r="D37" s="1">
        <v>5.5E-2</v>
      </c>
      <c r="O37" s="1">
        <f t="shared" si="0"/>
        <v>4.3570962739134828E-2</v>
      </c>
      <c r="P37" s="112">
        <f t="shared" si="1"/>
        <v>-0.21634959102275486</v>
      </c>
      <c r="Q37" s="28"/>
    </row>
    <row r="38" spans="1:17" x14ac:dyDescent="0.3">
      <c r="A38" s="88">
        <v>35156</v>
      </c>
      <c r="B38" s="76">
        <v>5.2200000000000003E-2</v>
      </c>
      <c r="C38" s="1">
        <v>2.832674571804995E-2</v>
      </c>
      <c r="D38" s="1">
        <v>5.5E-2</v>
      </c>
      <c r="O38" s="1">
        <f t="shared" si="0"/>
        <v>4.4173952102631309E-2</v>
      </c>
      <c r="P38" s="112">
        <f t="shared" si="1"/>
        <v>-0.15375570684614356</v>
      </c>
      <c r="Q38" s="28"/>
    </row>
    <row r="39" spans="1:17" x14ac:dyDescent="0.3">
      <c r="A39" s="88">
        <v>35247</v>
      </c>
      <c r="B39" s="76">
        <v>5.3999999999999999E-2</v>
      </c>
      <c r="C39" s="1">
        <v>2.8833551769331625E-2</v>
      </c>
      <c r="D39" s="1">
        <v>5.2999999999999999E-2</v>
      </c>
      <c r="O39" s="1">
        <f t="shared" si="0"/>
        <v>4.6725876155480323E-2</v>
      </c>
      <c r="P39" s="112">
        <f t="shared" si="1"/>
        <v>-0.13470599712073475</v>
      </c>
      <c r="Q39" s="28"/>
    </row>
    <row r="40" spans="1:17" x14ac:dyDescent="0.3">
      <c r="A40" s="88">
        <v>35339</v>
      </c>
      <c r="B40" s="76">
        <v>5.2400000000000002E-2</v>
      </c>
      <c r="C40" s="1">
        <v>3.0618892508143248E-2</v>
      </c>
      <c r="D40" s="1">
        <v>5.2999999999999999E-2</v>
      </c>
      <c r="O40" s="1">
        <f t="shared" si="0"/>
        <v>4.9290480837457559E-2</v>
      </c>
      <c r="P40" s="112">
        <f t="shared" si="1"/>
        <v>-5.9341968750809979E-2</v>
      </c>
      <c r="Q40" s="28"/>
    </row>
    <row r="41" spans="1:17" x14ac:dyDescent="0.3">
      <c r="A41" s="88">
        <v>35431</v>
      </c>
      <c r="B41" s="76">
        <v>5.2499999999999998E-2</v>
      </c>
      <c r="C41" s="1">
        <v>3.0381383322559907E-2</v>
      </c>
      <c r="D41" s="1">
        <v>5.2000000000000005E-2</v>
      </c>
      <c r="O41" s="1">
        <f t="shared" si="0"/>
        <v>4.9861257725843162E-2</v>
      </c>
      <c r="P41" s="112">
        <f t="shared" si="1"/>
        <v>-5.0261757602987345E-2</v>
      </c>
      <c r="Q41" s="28"/>
    </row>
    <row r="42" spans="1:17" x14ac:dyDescent="0.3">
      <c r="A42" s="88">
        <v>35521</v>
      </c>
      <c r="B42" s="76">
        <v>5.5100000000000003E-2</v>
      </c>
      <c r="C42" s="1">
        <v>2.4343369634849531E-2</v>
      </c>
      <c r="D42" s="1">
        <v>0.05</v>
      </c>
      <c r="O42" s="1">
        <f t="shared" si="0"/>
        <v>4.3011684921297554E-2</v>
      </c>
      <c r="P42" s="112">
        <f t="shared" si="1"/>
        <v>-0.21938865841565244</v>
      </c>
      <c r="Q42" s="28"/>
    </row>
    <row r="43" spans="1:17" x14ac:dyDescent="0.3">
      <c r="A43" s="88">
        <v>35612</v>
      </c>
      <c r="B43" s="76">
        <v>5.5199999999999999E-2</v>
      </c>
      <c r="C43" s="1">
        <v>2.165605095541405E-2</v>
      </c>
      <c r="D43" s="1">
        <v>4.9000000000000002E-2</v>
      </c>
      <c r="O43" s="1">
        <f t="shared" si="0"/>
        <v>4.0063361639444808E-2</v>
      </c>
      <c r="P43" s="112">
        <f t="shared" si="1"/>
        <v>-0.27421446305353608</v>
      </c>
      <c r="Q43" s="28"/>
    </row>
    <row r="44" spans="1:17" x14ac:dyDescent="0.3">
      <c r="A44" s="88">
        <v>35704</v>
      </c>
      <c r="B44" s="76">
        <v>5.5E-2</v>
      </c>
      <c r="C44" s="1">
        <v>2.0859671302149253E-2</v>
      </c>
      <c r="D44" s="1">
        <v>4.7E-2</v>
      </c>
      <c r="O44" s="1">
        <f t="shared" si="0"/>
        <v>4.074328664655965E-2</v>
      </c>
      <c r="P44" s="112">
        <f t="shared" si="1"/>
        <v>-0.25921297006255184</v>
      </c>
      <c r="Q44" s="28"/>
    </row>
    <row r="45" spans="1:17" x14ac:dyDescent="0.3">
      <c r="A45" s="88">
        <v>35796</v>
      </c>
      <c r="B45" s="76">
        <v>5.5599999999999997E-2</v>
      </c>
      <c r="C45" s="1">
        <v>1.6311166875784155E-2</v>
      </c>
      <c r="D45" s="1">
        <v>4.5999999999999999E-2</v>
      </c>
      <c r="O45" s="1">
        <f t="shared" si="0"/>
        <v>3.5121408912696689E-2</v>
      </c>
      <c r="P45" s="112">
        <f t="shared" si="1"/>
        <v>-0.36831998358459189</v>
      </c>
      <c r="Q45" s="28"/>
    </row>
    <row r="46" spans="1:17" x14ac:dyDescent="0.3">
      <c r="A46" s="88">
        <v>35886</v>
      </c>
      <c r="B46" s="76">
        <v>5.45E-2</v>
      </c>
      <c r="C46" s="1">
        <v>1.4383989993745985E-2</v>
      </c>
      <c r="D46" s="1">
        <v>4.4000000000000004E-2</v>
      </c>
      <c r="O46" s="1">
        <f t="shared" si="0"/>
        <v>3.4176967318952214E-2</v>
      </c>
      <c r="P46" s="112">
        <f t="shared" si="1"/>
        <v>-0.37289968222106029</v>
      </c>
      <c r="Q46" s="28"/>
    </row>
    <row r="47" spans="1:17" x14ac:dyDescent="0.3">
      <c r="A47" s="88">
        <v>35977</v>
      </c>
      <c r="B47" s="76">
        <v>5.5399999999999998E-2</v>
      </c>
      <c r="C47" s="1">
        <v>1.7456359102244284E-2</v>
      </c>
      <c r="D47" s="1">
        <v>4.4999999999999998E-2</v>
      </c>
      <c r="O47" s="1">
        <f t="shared" si="0"/>
        <v>3.7678407499839708E-2</v>
      </c>
      <c r="P47" s="112">
        <f t="shared" si="1"/>
        <v>-0.31988434115812797</v>
      </c>
      <c r="Q47" s="28"/>
    </row>
    <row r="48" spans="1:17" x14ac:dyDescent="0.3">
      <c r="A48" s="88">
        <v>36069</v>
      </c>
      <c r="B48" s="76">
        <v>5.0700000000000002E-2</v>
      </c>
      <c r="C48" s="1">
        <v>1.4860681114551119E-2</v>
      </c>
      <c r="D48" s="1">
        <v>4.4000000000000004E-2</v>
      </c>
      <c r="O48" s="1">
        <f t="shared" si="0"/>
        <v>3.4861724157631419E-2</v>
      </c>
      <c r="P48" s="112">
        <f t="shared" si="1"/>
        <v>-0.31239202844908448</v>
      </c>
      <c r="Q48" s="28"/>
    </row>
    <row r="49" spans="1:17" x14ac:dyDescent="0.3">
      <c r="A49" s="88">
        <v>36161</v>
      </c>
      <c r="B49" s="76">
        <v>4.6300000000000001E-2</v>
      </c>
      <c r="C49" s="1">
        <v>1.6666666666666597E-2</v>
      </c>
      <c r="D49" s="1">
        <v>4.2999999999999997E-2</v>
      </c>
      <c r="O49" s="1">
        <f t="shared" si="0"/>
        <v>3.8367938555490241E-2</v>
      </c>
      <c r="P49" s="112">
        <f t="shared" si="1"/>
        <v>-0.17131882169567514</v>
      </c>
      <c r="Q49" s="28"/>
    </row>
    <row r="50" spans="1:17" x14ac:dyDescent="0.3">
      <c r="A50" s="88">
        <v>36251</v>
      </c>
      <c r="B50" s="76">
        <v>4.7399999999999998E-2</v>
      </c>
      <c r="C50" s="1">
        <v>2.2811344019728837E-2</v>
      </c>
      <c r="D50" s="1">
        <v>4.2999999999999997E-2</v>
      </c>
      <c r="O50" s="1">
        <f t="shared" si="0"/>
        <v>4.7194639233027219E-2</v>
      </c>
      <c r="P50" s="112">
        <f t="shared" si="1"/>
        <v>-4.3325056323371015E-3</v>
      </c>
      <c r="Q50" s="28"/>
    </row>
    <row r="51" spans="1:17" x14ac:dyDescent="0.3">
      <c r="A51" s="88">
        <v>36342</v>
      </c>
      <c r="B51" s="76">
        <v>4.99E-2</v>
      </c>
      <c r="C51" s="1">
        <v>2.1446078431372549E-2</v>
      </c>
      <c r="D51" s="1">
        <v>4.2000000000000003E-2</v>
      </c>
      <c r="O51" s="1">
        <f t="shared" si="0"/>
        <v>4.6145417603591248E-2</v>
      </c>
      <c r="P51" s="112">
        <f t="shared" si="1"/>
        <v>-7.5242132192560165E-2</v>
      </c>
      <c r="Q51" s="28"/>
    </row>
    <row r="52" spans="1:17" x14ac:dyDescent="0.3">
      <c r="A52" s="88">
        <v>36434</v>
      </c>
      <c r="B52" s="76">
        <v>5.1999999999999998E-2</v>
      </c>
      <c r="C52" s="1">
        <v>2.5625381330079248E-2</v>
      </c>
      <c r="D52" s="1">
        <v>4.0999999999999995E-2</v>
      </c>
      <c r="O52" s="1">
        <f t="shared" si="0"/>
        <v>5.3060852799793064E-2</v>
      </c>
      <c r="P52" s="112">
        <f t="shared" si="1"/>
        <v>2.0401015380635889E-2</v>
      </c>
      <c r="Q52" s="28"/>
    </row>
    <row r="53" spans="1:17" x14ac:dyDescent="0.3">
      <c r="A53" s="88">
        <v>36526</v>
      </c>
      <c r="B53" s="76">
        <v>5.45E-2</v>
      </c>
      <c r="C53" s="1">
        <v>2.792956891317561E-2</v>
      </c>
      <c r="D53" s="1">
        <v>0.04</v>
      </c>
      <c r="O53" s="1">
        <f t="shared" si="0"/>
        <v>5.7282724009513251E-2</v>
      </c>
      <c r="P53" s="112">
        <f t="shared" si="1"/>
        <v>5.1059156137857831E-2</v>
      </c>
      <c r="Q53" s="28"/>
    </row>
    <row r="54" spans="1:17" x14ac:dyDescent="0.3">
      <c r="A54" s="88">
        <v>36617</v>
      </c>
      <c r="B54" s="76">
        <v>6.0199999999999997E-2</v>
      </c>
      <c r="C54" s="1">
        <v>3.013863773357444E-2</v>
      </c>
      <c r="D54" s="1">
        <v>3.9E-2</v>
      </c>
      <c r="O54" s="1">
        <f t="shared" si="0"/>
        <v>6.1367959103306155E-2</v>
      </c>
      <c r="P54" s="112">
        <f t="shared" si="1"/>
        <v>1.9401314008407947E-2</v>
      </c>
      <c r="Q54" s="28"/>
    </row>
    <row r="55" spans="1:17" x14ac:dyDescent="0.3">
      <c r="A55" s="88">
        <v>36708</v>
      </c>
      <c r="B55" s="76">
        <v>6.54E-2</v>
      </c>
      <c r="C55" s="1">
        <v>3.5992801439712063E-2</v>
      </c>
      <c r="D55" s="1">
        <v>0.04</v>
      </c>
      <c r="O55" s="1">
        <f t="shared" si="0"/>
        <v>6.8865389122051424E-2</v>
      </c>
      <c r="P55" s="112">
        <f t="shared" si="1"/>
        <v>5.2987601254608926E-2</v>
      </c>
      <c r="Q55" s="28"/>
    </row>
    <row r="56" spans="1:17" x14ac:dyDescent="0.3">
      <c r="A56" s="88">
        <v>36800</v>
      </c>
      <c r="B56" s="76">
        <v>6.5100000000000005E-2</v>
      </c>
      <c r="C56" s="1">
        <v>3.4503271861986984E-2</v>
      </c>
      <c r="D56" s="1">
        <v>3.9E-2</v>
      </c>
      <c r="O56" s="1">
        <f t="shared" si="0"/>
        <v>6.7637664867313541E-2</v>
      </c>
      <c r="P56" s="112">
        <f t="shared" si="1"/>
        <v>3.8981027147673354E-2</v>
      </c>
      <c r="Q56" s="28"/>
    </row>
    <row r="57" spans="1:17" x14ac:dyDescent="0.3">
      <c r="A57" s="88">
        <v>36892</v>
      </c>
      <c r="B57" s="76">
        <v>5.9799999999999999E-2</v>
      </c>
      <c r="C57" s="1">
        <v>3.7212049616066049E-2</v>
      </c>
      <c r="D57" s="1">
        <v>4.2000000000000003E-2</v>
      </c>
      <c r="O57" s="1">
        <f t="shared" si="0"/>
        <v>6.8792905916156666E-2</v>
      </c>
      <c r="P57" s="112">
        <f t="shared" si="1"/>
        <v>0.15038304207619843</v>
      </c>
      <c r="Q57" s="28"/>
    </row>
    <row r="58" spans="1:17" x14ac:dyDescent="0.3">
      <c r="A58" s="88">
        <v>36982</v>
      </c>
      <c r="B58" s="76">
        <v>4.8000000000000001E-2</v>
      </c>
      <c r="C58" s="1">
        <v>3.2182562902282039E-2</v>
      </c>
      <c r="D58" s="1">
        <v>4.4000000000000004E-2</v>
      </c>
      <c r="O58" s="1">
        <f t="shared" si="0"/>
        <v>5.9744245554102085E-2</v>
      </c>
      <c r="P58" s="112">
        <f t="shared" si="1"/>
        <v>0.24467178237712675</v>
      </c>
      <c r="Q58" s="28"/>
    </row>
    <row r="59" spans="1:17" x14ac:dyDescent="0.3">
      <c r="A59" s="88">
        <v>37073</v>
      </c>
      <c r="B59" s="76">
        <v>3.7699999999999997E-2</v>
      </c>
      <c r="C59" s="1">
        <v>2.7214823393167442E-2</v>
      </c>
      <c r="D59" s="1">
        <v>4.8000000000000001E-2</v>
      </c>
      <c r="O59" s="1">
        <f t="shared" si="0"/>
        <v>4.8960376016346313E-2</v>
      </c>
      <c r="P59" s="112">
        <f t="shared" si="1"/>
        <v>0.29868371396144078</v>
      </c>
      <c r="Q59" s="28"/>
    </row>
    <row r="60" spans="1:17" x14ac:dyDescent="0.3">
      <c r="A60" s="88">
        <v>37165</v>
      </c>
      <c r="B60" s="76">
        <v>2.4899999999999999E-2</v>
      </c>
      <c r="C60" s="1">
        <v>2.1276595744680785E-2</v>
      </c>
      <c r="D60" s="1">
        <v>5.5E-2</v>
      </c>
      <c r="O60" s="1">
        <f t="shared" si="0"/>
        <v>3.404655891807909E-2</v>
      </c>
      <c r="P60" s="112">
        <f t="shared" si="1"/>
        <v>0.36733168345699163</v>
      </c>
      <c r="Q60" s="28"/>
    </row>
    <row r="61" spans="1:17" x14ac:dyDescent="0.3">
      <c r="A61" s="88">
        <v>37257</v>
      </c>
      <c r="B61" s="76">
        <v>1.7299999999999999E-2</v>
      </c>
      <c r="C61" s="1">
        <v>1.1958997722095639E-2</v>
      </c>
      <c r="D61" s="1">
        <v>5.7000000000000002E-2</v>
      </c>
      <c r="O61" s="1">
        <f t="shared" si="0"/>
        <v>1.8838116224103328E-2</v>
      </c>
      <c r="P61" s="112">
        <f t="shared" si="1"/>
        <v>8.8908452260308024E-2</v>
      </c>
      <c r="Q61" s="28"/>
    </row>
    <row r="62" spans="1:17" x14ac:dyDescent="0.3">
      <c r="A62" s="88">
        <v>37347</v>
      </c>
      <c r="B62" s="76">
        <v>1.7500000000000002E-2</v>
      </c>
      <c r="C62" s="1">
        <v>1.6439909297052187E-2</v>
      </c>
      <c r="D62" s="1">
        <v>5.7999999999999996E-2</v>
      </c>
      <c r="O62" s="1">
        <f t="shared" si="0"/>
        <v>2.4362898238688667E-2</v>
      </c>
      <c r="P62" s="112">
        <f t="shared" si="1"/>
        <v>0.39216561363935226</v>
      </c>
      <c r="Q62" s="28"/>
    </row>
    <row r="63" spans="1:17" x14ac:dyDescent="0.3">
      <c r="A63" s="88">
        <v>37438</v>
      </c>
      <c r="B63" s="76">
        <v>1.7299999999999999E-2</v>
      </c>
      <c r="C63" s="1">
        <v>1.4656144306651603E-2</v>
      </c>
      <c r="D63" s="1">
        <v>5.7000000000000002E-2</v>
      </c>
      <c r="O63" s="1">
        <f t="shared" si="0"/>
        <v>2.2712510959158431E-2</v>
      </c>
      <c r="P63" s="112">
        <f t="shared" si="1"/>
        <v>0.31286190515366663</v>
      </c>
      <c r="Q63" s="28"/>
    </row>
    <row r="64" spans="1:17" x14ac:dyDescent="0.3">
      <c r="A64" s="88">
        <v>37530</v>
      </c>
      <c r="B64" s="76">
        <v>1.7500000000000002E-2</v>
      </c>
      <c r="C64" s="1">
        <v>2.027027027027024E-2</v>
      </c>
      <c r="D64" s="1">
        <v>5.9000000000000004E-2</v>
      </c>
      <c r="O64" s="1">
        <f t="shared" si="0"/>
        <v>2.8953177901531221E-2</v>
      </c>
      <c r="P64" s="112">
        <f t="shared" si="1"/>
        <v>0.65446730865892677</v>
      </c>
      <c r="Q64" s="28"/>
    </row>
    <row r="65" spans="1:17" x14ac:dyDescent="0.3">
      <c r="A65" s="88">
        <v>37622</v>
      </c>
      <c r="B65" s="76">
        <v>1.24E-2</v>
      </c>
      <c r="C65" s="1">
        <v>2.5886325267304576E-2</v>
      </c>
      <c r="D65" s="1">
        <v>5.9000000000000004E-2</v>
      </c>
      <c r="O65" s="1">
        <f t="shared" si="0"/>
        <v>3.7020523605647601E-2</v>
      </c>
      <c r="P65" s="112">
        <f t="shared" si="1"/>
        <v>1.9855260972296451</v>
      </c>
      <c r="Q65" s="28"/>
    </row>
    <row r="66" spans="1:17" x14ac:dyDescent="0.3">
      <c r="A66" s="88">
        <v>37712</v>
      </c>
      <c r="B66" s="76">
        <v>1.26E-2</v>
      </c>
      <c r="C66" s="1">
        <v>2.2308979364194088E-2</v>
      </c>
      <c r="D66" s="1">
        <v>6.0999999999999999E-2</v>
      </c>
      <c r="O66" s="1">
        <f t="shared" si="0"/>
        <v>3.0057833188144013E-2</v>
      </c>
      <c r="P66" s="112">
        <f t="shared" si="1"/>
        <v>1.3855423165193661</v>
      </c>
      <c r="Q66" s="28"/>
    </row>
    <row r="67" spans="1:17" x14ac:dyDescent="0.3">
      <c r="A67" s="88">
        <v>37803</v>
      </c>
      <c r="B67" s="76">
        <v>1.01E-2</v>
      </c>
      <c r="C67" s="1">
        <v>2.1111111111111174E-2</v>
      </c>
      <c r="D67" s="1">
        <v>6.0999999999999999E-2</v>
      </c>
      <c r="O67" s="1">
        <f t="shared" si="0"/>
        <v>2.8337120461735719E-2</v>
      </c>
      <c r="P67" s="112">
        <f t="shared" si="1"/>
        <v>1.8056554912609626</v>
      </c>
      <c r="Q67" s="28"/>
    </row>
    <row r="68" spans="1:17" x14ac:dyDescent="0.3">
      <c r="A68" s="88">
        <v>37895</v>
      </c>
      <c r="B68" s="76">
        <v>1.01E-2</v>
      </c>
      <c r="C68" s="1">
        <v>2.0419426048565215E-2</v>
      </c>
      <c r="D68" s="1">
        <v>5.7999999999999996E-2</v>
      </c>
      <c r="O68" s="1">
        <f t="shared" si="0"/>
        <v>3.007939093449221E-2</v>
      </c>
      <c r="P68" s="112">
        <f t="shared" si="1"/>
        <v>1.9781575182665558</v>
      </c>
      <c r="Q68" s="28"/>
    </row>
    <row r="69" spans="1:17" x14ac:dyDescent="0.3">
      <c r="A69" s="88">
        <v>37987</v>
      </c>
      <c r="B69" s="76">
        <v>0.01</v>
      </c>
      <c r="C69" s="1">
        <v>1.9747668678003257E-2</v>
      </c>
      <c r="D69" s="1">
        <v>5.7000000000000002E-2</v>
      </c>
      <c r="O69" s="1">
        <f t="shared" ref="O69:O80" si="3">$G$19+$G$20*C69+$G$21*D69</f>
        <v>3.0026379375033642E-2</v>
      </c>
      <c r="P69" s="112">
        <f t="shared" ref="P69:P80" si="4">(O69-B69)/B69</f>
        <v>2.0026379375033638</v>
      </c>
      <c r="Q69" s="28"/>
    </row>
    <row r="70" spans="1:17" x14ac:dyDescent="0.3">
      <c r="A70" s="88">
        <v>38078</v>
      </c>
      <c r="B70" s="76">
        <v>0.01</v>
      </c>
      <c r="C70" s="1">
        <v>2.2913256955810084E-2</v>
      </c>
      <c r="D70" s="1">
        <v>5.5999999999999994E-2</v>
      </c>
      <c r="O70" s="1">
        <f t="shared" si="3"/>
        <v>3.5485634691153269E-2</v>
      </c>
      <c r="P70" s="112">
        <f t="shared" si="4"/>
        <v>2.5485634691153267</v>
      </c>
      <c r="Q70" s="28"/>
    </row>
    <row r="71" spans="1:17" x14ac:dyDescent="0.3">
      <c r="A71" s="88">
        <v>38169</v>
      </c>
      <c r="B71" s="76">
        <v>1.26E-2</v>
      </c>
      <c r="C71" s="1">
        <v>2.9923830250272034E-2</v>
      </c>
      <c r="D71" s="1">
        <v>5.4000000000000006E-2</v>
      </c>
      <c r="O71" s="1">
        <f t="shared" si="3"/>
        <v>4.738008454860175E-2</v>
      </c>
      <c r="P71" s="112">
        <f t="shared" si="4"/>
        <v>2.7603241705239485</v>
      </c>
      <c r="Q71" s="28"/>
    </row>
    <row r="72" spans="1:17" x14ac:dyDescent="0.3">
      <c r="A72" s="88">
        <v>38261</v>
      </c>
      <c r="B72" s="76">
        <v>1.7600000000000001E-2</v>
      </c>
      <c r="C72" s="1">
        <v>3.190914007571663E-2</v>
      </c>
      <c r="D72" s="1">
        <v>5.4000000000000006E-2</v>
      </c>
      <c r="O72" s="1">
        <f t="shared" si="3"/>
        <v>5.0231940646894624E-2</v>
      </c>
      <c r="P72" s="112">
        <f t="shared" si="4"/>
        <v>1.854087536755376</v>
      </c>
      <c r="Q72" s="28"/>
    </row>
    <row r="73" spans="1:17" x14ac:dyDescent="0.3">
      <c r="A73" s="88">
        <v>38353</v>
      </c>
      <c r="B73" s="76">
        <v>2.2800000000000001E-2</v>
      </c>
      <c r="C73" s="1">
        <v>2.9047875201721387E-2</v>
      </c>
      <c r="D73" s="1">
        <v>5.2999999999999999E-2</v>
      </c>
      <c r="O73" s="1">
        <f t="shared" si="3"/>
        <v>4.7033747289665098E-2</v>
      </c>
      <c r="P73" s="112">
        <f t="shared" si="4"/>
        <v>1.0628836530554866</v>
      </c>
      <c r="Q73" s="28"/>
    </row>
    <row r="74" spans="1:17" x14ac:dyDescent="0.3">
      <c r="A74" s="88">
        <v>38443</v>
      </c>
      <c r="B74" s="76">
        <v>2.7900000000000001E-2</v>
      </c>
      <c r="C74" s="1">
        <v>3.4133333333333363E-2</v>
      </c>
      <c r="D74" s="1">
        <v>5.0999999999999997E-2</v>
      </c>
      <c r="O74" s="1">
        <f t="shared" si="3"/>
        <v>5.6162809424388609E-2</v>
      </c>
      <c r="P74" s="112">
        <f t="shared" si="4"/>
        <v>1.0130039220210969</v>
      </c>
      <c r="Q74" s="28"/>
    </row>
    <row r="75" spans="1:17" x14ac:dyDescent="0.3">
      <c r="A75" s="88">
        <v>38534</v>
      </c>
      <c r="B75" s="76">
        <v>3.2599999999999997E-2</v>
      </c>
      <c r="C75" s="1">
        <v>3.0639197041732607E-2</v>
      </c>
      <c r="D75" s="1">
        <v>0.05</v>
      </c>
      <c r="O75" s="1">
        <f t="shared" si="3"/>
        <v>5.2055509494168976E-2</v>
      </c>
      <c r="P75" s="112">
        <f t="shared" si="4"/>
        <v>0.59679476975978474</v>
      </c>
      <c r="Q75" s="28"/>
    </row>
    <row r="76" spans="1:17" x14ac:dyDescent="0.3">
      <c r="A76" s="88">
        <v>38626</v>
      </c>
      <c r="B76" s="76">
        <v>3.78E-2</v>
      </c>
      <c r="C76" s="1">
        <v>4.4025157232704282E-2</v>
      </c>
      <c r="D76" s="1">
        <v>0.05</v>
      </c>
      <c r="O76" s="1">
        <f t="shared" si="3"/>
        <v>7.1284161724094408E-2</v>
      </c>
      <c r="P76" s="112">
        <f t="shared" si="4"/>
        <v>0.88582438423530174</v>
      </c>
      <c r="Q76" s="28"/>
    </row>
    <row r="77" spans="1:17" x14ac:dyDescent="0.3">
      <c r="A77" s="88">
        <v>38718</v>
      </c>
      <c r="B77" s="76">
        <v>4.2900000000000001E-2</v>
      </c>
      <c r="C77" s="1">
        <v>4.0250914793517972E-2</v>
      </c>
      <c r="D77" s="1">
        <v>4.7E-2</v>
      </c>
      <c r="O77" s="1">
        <f t="shared" si="3"/>
        <v>6.8598402908807282E-2</v>
      </c>
      <c r="P77" s="112">
        <f t="shared" si="4"/>
        <v>0.59903037083466859</v>
      </c>
      <c r="Q77" s="28"/>
    </row>
    <row r="78" spans="1:17" x14ac:dyDescent="0.3">
      <c r="A78" s="88">
        <v>38808</v>
      </c>
      <c r="B78" s="76">
        <v>4.7899999999999998E-2</v>
      </c>
      <c r="C78" s="1">
        <v>3.5585353274883991E-2</v>
      </c>
      <c r="D78" s="1">
        <v>4.5999999999999999E-2</v>
      </c>
      <c r="O78" s="1">
        <f t="shared" si="3"/>
        <v>6.2808375106800332E-2</v>
      </c>
      <c r="P78" s="112">
        <f t="shared" si="4"/>
        <v>0.31123956381629092</v>
      </c>
      <c r="Q78" s="28"/>
    </row>
    <row r="79" spans="1:17" x14ac:dyDescent="0.3">
      <c r="A79" s="88">
        <v>38899</v>
      </c>
      <c r="B79" s="81">
        <v>6.1464017188872559E-2</v>
      </c>
      <c r="C79" s="1">
        <v>4.1517170681701666E-2</v>
      </c>
      <c r="D79" s="1">
        <v>4.5999999999999999E-2</v>
      </c>
      <c r="O79" s="1">
        <f t="shared" si="3"/>
        <v>7.1329306917433166E-2</v>
      </c>
      <c r="P79" s="112">
        <f t="shared" si="4"/>
        <v>0.16050512445754389</v>
      </c>
      <c r="Q79" s="28"/>
    </row>
    <row r="80" spans="1:17" x14ac:dyDescent="0.3">
      <c r="A80" s="88">
        <v>38991</v>
      </c>
      <c r="B80" s="1">
        <v>5.2499999999999998E-2</v>
      </c>
      <c r="C80" s="1">
        <v>1.3052208835341481E-2</v>
      </c>
      <c r="D80" s="1">
        <v>4.4000000000000004E-2</v>
      </c>
      <c r="O80" s="1">
        <f t="shared" si="3"/>
        <v>3.2263891501006836E-2</v>
      </c>
      <c r="P80" s="112">
        <f t="shared" si="4"/>
        <v>-0.38544968569510785</v>
      </c>
      <c r="Q80" s="28"/>
    </row>
    <row r="81" spans="1:17" ht="14.5" thickBot="1" x14ac:dyDescent="0.35">
      <c r="A81" s="48"/>
      <c r="B81" s="30"/>
      <c r="C81" s="30"/>
      <c r="D81" s="114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1"/>
    </row>
    <row r="82" spans="1:17" x14ac:dyDescent="0.3">
      <c r="D82" s="85"/>
    </row>
    <row r="83" spans="1:17" x14ac:dyDescent="0.3">
      <c r="D83" s="85"/>
    </row>
    <row r="84" spans="1:17" x14ac:dyDescent="0.3">
      <c r="D84" s="85"/>
    </row>
    <row r="85" spans="1:17" x14ac:dyDescent="0.3">
      <c r="D85" s="85"/>
    </row>
    <row r="86" spans="1:17" x14ac:dyDescent="0.3">
      <c r="D86" s="85"/>
    </row>
    <row r="87" spans="1:17" x14ac:dyDescent="0.3">
      <c r="D87" s="85"/>
    </row>
    <row r="88" spans="1:17" x14ac:dyDescent="0.3">
      <c r="D88" s="85"/>
    </row>
    <row r="89" spans="1:17" x14ac:dyDescent="0.3">
      <c r="D89" s="85"/>
    </row>
    <row r="90" spans="1:17" x14ac:dyDescent="0.3">
      <c r="D90" s="85"/>
    </row>
    <row r="91" spans="1:17" x14ac:dyDescent="0.3">
      <c r="D91" s="85"/>
    </row>
    <row r="92" spans="1:17" x14ac:dyDescent="0.3">
      <c r="D92" s="85"/>
    </row>
    <row r="93" spans="1:17" x14ac:dyDescent="0.3">
      <c r="D93" s="85"/>
    </row>
    <row r="94" spans="1:17" x14ac:dyDescent="0.3">
      <c r="D94" s="85"/>
    </row>
    <row r="95" spans="1:17" x14ac:dyDescent="0.3">
      <c r="D95" s="85"/>
    </row>
    <row r="96" spans="1:17" x14ac:dyDescent="0.3">
      <c r="D96" s="85"/>
    </row>
    <row r="97" spans="4:4" x14ac:dyDescent="0.3">
      <c r="D97" s="85"/>
    </row>
    <row r="98" spans="4:4" x14ac:dyDescent="0.3">
      <c r="D98" s="85"/>
    </row>
    <row r="99" spans="4:4" x14ac:dyDescent="0.3">
      <c r="D99" s="85"/>
    </row>
    <row r="100" spans="4:4" x14ac:dyDescent="0.3">
      <c r="D100" s="85"/>
    </row>
    <row r="101" spans="4:4" x14ac:dyDescent="0.3">
      <c r="D101" s="85"/>
    </row>
    <row r="102" spans="4:4" x14ac:dyDescent="0.3">
      <c r="D102" s="85"/>
    </row>
    <row r="103" spans="4:4" x14ac:dyDescent="0.3">
      <c r="D103" s="85"/>
    </row>
    <row r="104" spans="4:4" x14ac:dyDescent="0.3">
      <c r="D104" s="85"/>
    </row>
    <row r="105" spans="4:4" x14ac:dyDescent="0.3">
      <c r="D105" s="85"/>
    </row>
    <row r="106" spans="4:4" x14ac:dyDescent="0.3">
      <c r="D106" s="85"/>
    </row>
    <row r="107" spans="4:4" x14ac:dyDescent="0.3">
      <c r="D107" s="85"/>
    </row>
    <row r="108" spans="4:4" x14ac:dyDescent="0.3">
      <c r="D108" s="85"/>
    </row>
    <row r="109" spans="4:4" x14ac:dyDescent="0.3">
      <c r="D109" s="85"/>
    </row>
    <row r="110" spans="4:4" x14ac:dyDescent="0.3">
      <c r="D110" s="85"/>
    </row>
    <row r="111" spans="4:4" x14ac:dyDescent="0.3">
      <c r="D111" s="85"/>
    </row>
    <row r="112" spans="4:4" x14ac:dyDescent="0.3">
      <c r="D112" s="85"/>
    </row>
    <row r="113" spans="4:4" x14ac:dyDescent="0.3">
      <c r="D113" s="85"/>
    </row>
    <row r="114" spans="4:4" x14ac:dyDescent="0.3">
      <c r="D114" s="85"/>
    </row>
    <row r="115" spans="4:4" x14ac:dyDescent="0.3">
      <c r="D115" s="85"/>
    </row>
    <row r="116" spans="4:4" x14ac:dyDescent="0.3">
      <c r="D116" s="85"/>
    </row>
    <row r="117" spans="4:4" x14ac:dyDescent="0.3">
      <c r="D117" s="85"/>
    </row>
    <row r="118" spans="4:4" x14ac:dyDescent="0.3">
      <c r="D118" s="85"/>
    </row>
    <row r="119" spans="4:4" x14ac:dyDescent="0.3">
      <c r="D119" s="85"/>
    </row>
    <row r="120" spans="4:4" x14ac:dyDescent="0.3">
      <c r="D120" s="85"/>
    </row>
    <row r="121" spans="4:4" x14ac:dyDescent="0.3">
      <c r="D121" s="85"/>
    </row>
    <row r="122" spans="4:4" x14ac:dyDescent="0.3">
      <c r="D122" s="85"/>
    </row>
    <row r="123" spans="4:4" x14ac:dyDescent="0.3">
      <c r="D123" s="85"/>
    </row>
    <row r="124" spans="4:4" x14ac:dyDescent="0.3">
      <c r="D124" s="85"/>
    </row>
    <row r="125" spans="4:4" x14ac:dyDescent="0.3">
      <c r="D125" s="85"/>
    </row>
    <row r="126" spans="4:4" x14ac:dyDescent="0.3">
      <c r="D126" s="85"/>
    </row>
    <row r="127" spans="4:4" x14ac:dyDescent="0.3">
      <c r="D127" s="85"/>
    </row>
    <row r="128" spans="4:4" x14ac:dyDescent="0.3">
      <c r="D128" s="85"/>
    </row>
    <row r="129" spans="4:4" x14ac:dyDescent="0.3">
      <c r="D129" s="85"/>
    </row>
    <row r="130" spans="4:4" x14ac:dyDescent="0.3">
      <c r="D130" s="85"/>
    </row>
    <row r="131" spans="4:4" x14ac:dyDescent="0.3">
      <c r="D131" s="85"/>
    </row>
    <row r="132" spans="4:4" x14ac:dyDescent="0.3">
      <c r="D132" s="85"/>
    </row>
    <row r="133" spans="4:4" x14ac:dyDescent="0.3">
      <c r="D133" s="85"/>
    </row>
    <row r="134" spans="4:4" x14ac:dyDescent="0.3">
      <c r="D134" s="85"/>
    </row>
    <row r="135" spans="4:4" x14ac:dyDescent="0.3">
      <c r="D135" s="85"/>
    </row>
    <row r="136" spans="4:4" x14ac:dyDescent="0.3">
      <c r="D136" s="85"/>
    </row>
    <row r="137" spans="4:4" x14ac:dyDescent="0.3">
      <c r="D137" s="85"/>
    </row>
    <row r="138" spans="4:4" x14ac:dyDescent="0.3">
      <c r="D138" s="85"/>
    </row>
    <row r="139" spans="4:4" x14ac:dyDescent="0.3">
      <c r="D139" s="85"/>
    </row>
    <row r="140" spans="4:4" x14ac:dyDescent="0.3">
      <c r="D140" s="85"/>
    </row>
    <row r="141" spans="4:4" x14ac:dyDescent="0.3">
      <c r="D141" s="85"/>
    </row>
    <row r="142" spans="4:4" x14ac:dyDescent="0.3">
      <c r="D142" s="85"/>
    </row>
    <row r="143" spans="4:4" x14ac:dyDescent="0.3">
      <c r="D143" s="85"/>
    </row>
    <row r="144" spans="4:4" x14ac:dyDescent="0.3">
      <c r="D144" s="85"/>
    </row>
    <row r="145" spans="4:4" x14ac:dyDescent="0.3">
      <c r="D145" s="85"/>
    </row>
    <row r="146" spans="4:4" x14ac:dyDescent="0.3">
      <c r="D146" s="85"/>
    </row>
    <row r="147" spans="4:4" x14ac:dyDescent="0.3">
      <c r="D147" s="85"/>
    </row>
    <row r="148" spans="4:4" x14ac:dyDescent="0.3">
      <c r="D148" s="85"/>
    </row>
    <row r="149" spans="4:4" x14ac:dyDescent="0.3">
      <c r="D149" s="85"/>
    </row>
    <row r="150" spans="4:4" x14ac:dyDescent="0.3">
      <c r="D150" s="85"/>
    </row>
    <row r="151" spans="4:4" x14ac:dyDescent="0.3">
      <c r="D151" s="85"/>
    </row>
    <row r="152" spans="4:4" x14ac:dyDescent="0.3">
      <c r="D152" s="85"/>
    </row>
    <row r="153" spans="4:4" x14ac:dyDescent="0.3">
      <c r="D153" s="85"/>
    </row>
    <row r="154" spans="4:4" x14ac:dyDescent="0.3">
      <c r="D154" s="85"/>
    </row>
    <row r="155" spans="4:4" x14ac:dyDescent="0.3">
      <c r="D155" s="85"/>
    </row>
    <row r="156" spans="4:4" x14ac:dyDescent="0.3">
      <c r="D156" s="85"/>
    </row>
    <row r="157" spans="4:4" x14ac:dyDescent="0.3">
      <c r="D157" s="85"/>
    </row>
    <row r="158" spans="4:4" x14ac:dyDescent="0.3">
      <c r="D158" s="85"/>
    </row>
    <row r="159" spans="4:4" x14ac:dyDescent="0.3">
      <c r="D159" s="85"/>
    </row>
    <row r="160" spans="4:4" x14ac:dyDescent="0.3">
      <c r="D160" s="85"/>
    </row>
    <row r="161" spans="4:4" x14ac:dyDescent="0.3">
      <c r="D161" s="85"/>
    </row>
    <row r="162" spans="4:4" x14ac:dyDescent="0.3">
      <c r="D162" s="85"/>
    </row>
    <row r="163" spans="4:4" x14ac:dyDescent="0.3">
      <c r="D163" s="85"/>
    </row>
    <row r="164" spans="4:4" x14ac:dyDescent="0.3">
      <c r="D164" s="85"/>
    </row>
    <row r="165" spans="4:4" x14ac:dyDescent="0.3">
      <c r="D165" s="85"/>
    </row>
    <row r="166" spans="4:4" x14ac:dyDescent="0.3">
      <c r="D166" s="85"/>
    </row>
    <row r="167" spans="4:4" x14ac:dyDescent="0.3">
      <c r="D167" s="85"/>
    </row>
    <row r="168" spans="4:4" x14ac:dyDescent="0.3">
      <c r="D168" s="85"/>
    </row>
    <row r="169" spans="4:4" x14ac:dyDescent="0.3">
      <c r="D169" s="85"/>
    </row>
    <row r="170" spans="4:4" x14ac:dyDescent="0.3">
      <c r="D170" s="85"/>
    </row>
    <row r="171" spans="4:4" x14ac:dyDescent="0.3">
      <c r="D171" s="85"/>
    </row>
    <row r="172" spans="4:4" x14ac:dyDescent="0.3">
      <c r="D172" s="85"/>
    </row>
    <row r="173" spans="4:4" x14ac:dyDescent="0.3">
      <c r="D173" s="85"/>
    </row>
    <row r="174" spans="4:4" x14ac:dyDescent="0.3">
      <c r="D174" s="85"/>
    </row>
    <row r="175" spans="4:4" x14ac:dyDescent="0.3">
      <c r="D175" s="85"/>
    </row>
    <row r="176" spans="4:4" x14ac:dyDescent="0.3">
      <c r="D176" s="85"/>
    </row>
    <row r="177" spans="4:4" x14ac:dyDescent="0.3">
      <c r="D177" s="85"/>
    </row>
    <row r="178" spans="4:4" x14ac:dyDescent="0.3">
      <c r="D178" s="85"/>
    </row>
    <row r="179" spans="4:4" x14ac:dyDescent="0.3">
      <c r="D179" s="85"/>
    </row>
    <row r="180" spans="4:4" x14ac:dyDescent="0.3">
      <c r="D180" s="85"/>
    </row>
    <row r="181" spans="4:4" x14ac:dyDescent="0.3">
      <c r="D181" s="85"/>
    </row>
    <row r="182" spans="4:4" x14ac:dyDescent="0.3">
      <c r="D182" s="85"/>
    </row>
    <row r="183" spans="4:4" x14ac:dyDescent="0.3">
      <c r="D183" s="85"/>
    </row>
    <row r="184" spans="4:4" x14ac:dyDescent="0.3">
      <c r="D184" s="85"/>
    </row>
    <row r="185" spans="4:4" x14ac:dyDescent="0.3">
      <c r="D185" s="85"/>
    </row>
    <row r="186" spans="4:4" x14ac:dyDescent="0.3">
      <c r="D186" s="85"/>
    </row>
    <row r="187" spans="4:4" x14ac:dyDescent="0.3">
      <c r="D187" s="85"/>
    </row>
    <row r="188" spans="4:4" x14ac:dyDescent="0.3">
      <c r="D188" s="85"/>
    </row>
    <row r="189" spans="4:4" x14ac:dyDescent="0.3">
      <c r="D189" s="85"/>
    </row>
    <row r="190" spans="4:4" x14ac:dyDescent="0.3">
      <c r="D190" s="85"/>
    </row>
    <row r="191" spans="4:4" x14ac:dyDescent="0.3">
      <c r="D191" s="85"/>
    </row>
    <row r="192" spans="4:4" x14ac:dyDescent="0.3">
      <c r="D192" s="85"/>
    </row>
    <row r="193" spans="4:4" x14ac:dyDescent="0.3">
      <c r="D193" s="85"/>
    </row>
    <row r="194" spans="4:4" x14ac:dyDescent="0.3">
      <c r="D194" s="85"/>
    </row>
    <row r="195" spans="4:4" x14ac:dyDescent="0.3">
      <c r="D195" s="85"/>
    </row>
    <row r="196" spans="4:4" x14ac:dyDescent="0.3">
      <c r="D196" s="85"/>
    </row>
    <row r="197" spans="4:4" x14ac:dyDescent="0.3">
      <c r="D197" s="85"/>
    </row>
    <row r="198" spans="4:4" x14ac:dyDescent="0.3">
      <c r="D198" s="85"/>
    </row>
    <row r="199" spans="4:4" x14ac:dyDescent="0.3">
      <c r="D199" s="85"/>
    </row>
    <row r="200" spans="4:4" x14ac:dyDescent="0.3">
      <c r="D200" s="85"/>
    </row>
    <row r="201" spans="4:4" x14ac:dyDescent="0.3">
      <c r="D201" s="85"/>
    </row>
    <row r="202" spans="4:4" x14ac:dyDescent="0.3">
      <c r="D202" s="85"/>
    </row>
    <row r="203" spans="4:4" x14ac:dyDescent="0.3">
      <c r="D203" s="85"/>
    </row>
    <row r="204" spans="4:4" x14ac:dyDescent="0.3">
      <c r="D204" s="85"/>
    </row>
    <row r="205" spans="4:4" x14ac:dyDescent="0.3">
      <c r="D205" s="85"/>
    </row>
    <row r="206" spans="4:4" x14ac:dyDescent="0.3">
      <c r="D206" s="85"/>
    </row>
    <row r="207" spans="4:4" x14ac:dyDescent="0.3">
      <c r="D207" s="85"/>
    </row>
    <row r="208" spans="4:4" x14ac:dyDescent="0.3">
      <c r="D208" s="85"/>
    </row>
    <row r="209" spans="4:4" x14ac:dyDescent="0.3">
      <c r="D209" s="85"/>
    </row>
    <row r="210" spans="4:4" x14ac:dyDescent="0.3">
      <c r="D210" s="85"/>
    </row>
    <row r="211" spans="4:4" x14ac:dyDescent="0.3">
      <c r="D211" s="85"/>
    </row>
    <row r="212" spans="4:4" x14ac:dyDescent="0.3">
      <c r="D212" s="85"/>
    </row>
    <row r="213" spans="4:4" x14ac:dyDescent="0.3">
      <c r="D213" s="85"/>
    </row>
    <row r="214" spans="4:4" x14ac:dyDescent="0.3">
      <c r="D214" s="85"/>
    </row>
    <row r="215" spans="4:4" x14ac:dyDescent="0.3">
      <c r="D215" s="85"/>
    </row>
    <row r="216" spans="4:4" x14ac:dyDescent="0.3">
      <c r="D216" s="85"/>
    </row>
    <row r="217" spans="4:4" x14ac:dyDescent="0.3">
      <c r="D217" s="85"/>
    </row>
    <row r="218" spans="4:4" x14ac:dyDescent="0.3">
      <c r="D218" s="85"/>
    </row>
    <row r="219" spans="4:4" x14ac:dyDescent="0.3">
      <c r="D219" s="85"/>
    </row>
    <row r="220" spans="4:4" x14ac:dyDescent="0.3">
      <c r="D220" s="85"/>
    </row>
    <row r="221" spans="4:4" x14ac:dyDescent="0.3">
      <c r="D221" s="85"/>
    </row>
    <row r="222" spans="4:4" x14ac:dyDescent="0.3">
      <c r="D222" s="85"/>
    </row>
    <row r="223" spans="4:4" x14ac:dyDescent="0.3">
      <c r="D223" s="85"/>
    </row>
    <row r="224" spans="4:4" x14ac:dyDescent="0.3">
      <c r="D224" s="85"/>
    </row>
    <row r="225" spans="4:4" x14ac:dyDescent="0.3">
      <c r="D225" s="85"/>
    </row>
    <row r="226" spans="4:4" x14ac:dyDescent="0.3">
      <c r="D226" s="85"/>
    </row>
    <row r="227" spans="4:4" x14ac:dyDescent="0.3">
      <c r="D227" s="85"/>
    </row>
    <row r="228" spans="4:4" x14ac:dyDescent="0.3">
      <c r="D228" s="85"/>
    </row>
    <row r="229" spans="4:4" x14ac:dyDescent="0.3">
      <c r="D229" s="85"/>
    </row>
    <row r="230" spans="4:4" x14ac:dyDescent="0.3">
      <c r="D230" s="85"/>
    </row>
    <row r="231" spans="4:4" x14ac:dyDescent="0.3">
      <c r="D231" s="85"/>
    </row>
    <row r="232" spans="4:4" x14ac:dyDescent="0.3">
      <c r="D232" s="85"/>
    </row>
    <row r="233" spans="4:4" x14ac:dyDescent="0.3">
      <c r="D233" s="85"/>
    </row>
    <row r="234" spans="4:4" x14ac:dyDescent="0.3">
      <c r="D234" s="85"/>
    </row>
    <row r="235" spans="4:4" x14ac:dyDescent="0.3">
      <c r="D235" s="85"/>
    </row>
    <row r="236" spans="4:4" x14ac:dyDescent="0.3">
      <c r="D236" s="85"/>
    </row>
    <row r="237" spans="4:4" x14ac:dyDescent="0.3">
      <c r="D237" s="85"/>
    </row>
    <row r="238" spans="4:4" x14ac:dyDescent="0.3">
      <c r="D238" s="85"/>
    </row>
    <row r="239" spans="4:4" x14ac:dyDescent="0.3">
      <c r="D239" s="85"/>
    </row>
    <row r="240" spans="4:4" x14ac:dyDescent="0.3">
      <c r="D240" s="85"/>
    </row>
    <row r="241" spans="4:4" x14ac:dyDescent="0.3">
      <c r="D241" s="85"/>
    </row>
    <row r="242" spans="4:4" x14ac:dyDescent="0.3">
      <c r="D242" s="85"/>
    </row>
    <row r="243" spans="4:4" x14ac:dyDescent="0.3">
      <c r="D243" s="85"/>
    </row>
    <row r="244" spans="4:4" x14ac:dyDescent="0.3">
      <c r="D244" s="85"/>
    </row>
    <row r="245" spans="4:4" x14ac:dyDescent="0.3">
      <c r="D245" s="85"/>
    </row>
    <row r="246" spans="4:4" x14ac:dyDescent="0.3">
      <c r="D246" s="85"/>
    </row>
    <row r="247" spans="4:4" x14ac:dyDescent="0.3">
      <c r="D247" s="85"/>
    </row>
    <row r="248" spans="4:4" x14ac:dyDescent="0.3">
      <c r="D248" s="85"/>
    </row>
    <row r="249" spans="4:4" x14ac:dyDescent="0.3">
      <c r="D249" s="85"/>
    </row>
    <row r="250" spans="4:4" x14ac:dyDescent="0.3">
      <c r="D250" s="85"/>
    </row>
    <row r="251" spans="4:4" x14ac:dyDescent="0.3">
      <c r="D251" s="85"/>
    </row>
    <row r="252" spans="4:4" x14ac:dyDescent="0.3">
      <c r="D252" s="85"/>
    </row>
    <row r="253" spans="4:4" x14ac:dyDescent="0.3">
      <c r="D253" s="85"/>
    </row>
    <row r="254" spans="4:4" x14ac:dyDescent="0.3">
      <c r="D254" s="85"/>
    </row>
    <row r="255" spans="4:4" x14ac:dyDescent="0.3">
      <c r="D255" s="85"/>
    </row>
    <row r="256" spans="4:4" x14ac:dyDescent="0.3">
      <c r="D256" s="85"/>
    </row>
    <row r="257" spans="4:4" x14ac:dyDescent="0.3">
      <c r="D257" s="85"/>
    </row>
    <row r="258" spans="4:4" x14ac:dyDescent="0.3">
      <c r="D258" s="85"/>
    </row>
    <row r="259" spans="4:4" x14ac:dyDescent="0.3">
      <c r="D259" s="85"/>
    </row>
    <row r="260" spans="4:4" x14ac:dyDescent="0.3">
      <c r="D260" s="85"/>
    </row>
    <row r="261" spans="4:4" x14ac:dyDescent="0.3">
      <c r="D261" s="85"/>
    </row>
    <row r="262" spans="4:4" x14ac:dyDescent="0.3">
      <c r="D262" s="85"/>
    </row>
    <row r="263" spans="4:4" x14ac:dyDescent="0.3">
      <c r="D263" s="85"/>
    </row>
    <row r="264" spans="4:4" x14ac:dyDescent="0.3">
      <c r="D264" s="85"/>
    </row>
    <row r="265" spans="4:4" x14ac:dyDescent="0.3">
      <c r="D265" s="85"/>
    </row>
    <row r="266" spans="4:4" x14ac:dyDescent="0.3">
      <c r="D266" s="85"/>
    </row>
    <row r="267" spans="4:4" x14ac:dyDescent="0.3">
      <c r="D267" s="85"/>
    </row>
    <row r="268" spans="4:4" x14ac:dyDescent="0.3">
      <c r="D268" s="85"/>
    </row>
    <row r="269" spans="4:4" x14ac:dyDescent="0.3">
      <c r="D269" s="85"/>
    </row>
    <row r="270" spans="4:4" x14ac:dyDescent="0.3">
      <c r="D270" s="85"/>
    </row>
    <row r="271" spans="4:4" x14ac:dyDescent="0.3">
      <c r="D271" s="85"/>
    </row>
    <row r="272" spans="4:4" x14ac:dyDescent="0.3">
      <c r="D272" s="85"/>
    </row>
    <row r="273" spans="4:4" x14ac:dyDescent="0.3">
      <c r="D273" s="85"/>
    </row>
    <row r="274" spans="4:4" x14ac:dyDescent="0.3">
      <c r="D274" s="85"/>
    </row>
    <row r="275" spans="4:4" x14ac:dyDescent="0.3">
      <c r="D275" s="85"/>
    </row>
    <row r="276" spans="4:4" x14ac:dyDescent="0.3">
      <c r="D276" s="85"/>
    </row>
    <row r="277" spans="4:4" x14ac:dyDescent="0.3">
      <c r="D277" s="85"/>
    </row>
    <row r="278" spans="4:4" x14ac:dyDescent="0.3">
      <c r="D278" s="85"/>
    </row>
    <row r="279" spans="4:4" x14ac:dyDescent="0.3">
      <c r="D279" s="85"/>
    </row>
    <row r="280" spans="4:4" x14ac:dyDescent="0.3">
      <c r="D280" s="85"/>
    </row>
    <row r="281" spans="4:4" x14ac:dyDescent="0.3">
      <c r="D281" s="85"/>
    </row>
    <row r="282" spans="4:4" x14ac:dyDescent="0.3">
      <c r="D282" s="85"/>
    </row>
    <row r="283" spans="4:4" x14ac:dyDescent="0.3">
      <c r="D283" s="85"/>
    </row>
    <row r="284" spans="4:4" x14ac:dyDescent="0.3">
      <c r="D284" s="85"/>
    </row>
    <row r="285" spans="4:4" x14ac:dyDescent="0.3">
      <c r="D285" s="85"/>
    </row>
    <row r="286" spans="4:4" x14ac:dyDescent="0.3">
      <c r="D286" s="85"/>
    </row>
    <row r="287" spans="4:4" x14ac:dyDescent="0.3">
      <c r="D287" s="85"/>
    </row>
    <row r="288" spans="4:4" x14ac:dyDescent="0.3">
      <c r="D288" s="85"/>
    </row>
    <row r="289" spans="4:4" x14ac:dyDescent="0.3">
      <c r="D289" s="85"/>
    </row>
    <row r="290" spans="4:4" x14ac:dyDescent="0.3">
      <c r="D290" s="85"/>
    </row>
    <row r="291" spans="4:4" x14ac:dyDescent="0.3">
      <c r="D291" s="85"/>
    </row>
    <row r="292" spans="4:4" x14ac:dyDescent="0.3">
      <c r="D292" s="85"/>
    </row>
    <row r="293" spans="4:4" x14ac:dyDescent="0.3">
      <c r="D293" s="85"/>
    </row>
    <row r="294" spans="4:4" x14ac:dyDescent="0.3">
      <c r="D294" s="85"/>
    </row>
    <row r="295" spans="4:4" x14ac:dyDescent="0.3">
      <c r="D295" s="85"/>
    </row>
    <row r="296" spans="4:4" x14ac:dyDescent="0.3">
      <c r="D296" s="85"/>
    </row>
    <row r="297" spans="4:4" x14ac:dyDescent="0.3">
      <c r="D297" s="85"/>
    </row>
    <row r="298" spans="4:4" x14ac:dyDescent="0.3">
      <c r="D298" s="85"/>
    </row>
    <row r="299" spans="4:4" x14ac:dyDescent="0.3">
      <c r="D299" s="85"/>
    </row>
    <row r="300" spans="4:4" x14ac:dyDescent="0.3">
      <c r="D300" s="85"/>
    </row>
    <row r="301" spans="4:4" x14ac:dyDescent="0.3">
      <c r="D301" s="85"/>
    </row>
    <row r="302" spans="4:4" x14ac:dyDescent="0.3">
      <c r="D302" s="85"/>
    </row>
    <row r="303" spans="4:4" x14ac:dyDescent="0.3">
      <c r="D303" s="85"/>
    </row>
    <row r="304" spans="4:4" x14ac:dyDescent="0.3">
      <c r="D304" s="85"/>
    </row>
    <row r="305" spans="4:4" x14ac:dyDescent="0.3">
      <c r="D305" s="85"/>
    </row>
    <row r="306" spans="4:4" x14ac:dyDescent="0.3">
      <c r="D306" s="85"/>
    </row>
    <row r="307" spans="4:4" x14ac:dyDescent="0.3">
      <c r="D307" s="85"/>
    </row>
    <row r="308" spans="4:4" x14ac:dyDescent="0.3">
      <c r="D308" s="85"/>
    </row>
    <row r="309" spans="4:4" x14ac:dyDescent="0.3">
      <c r="D309" s="85"/>
    </row>
    <row r="310" spans="4:4" x14ac:dyDescent="0.3">
      <c r="D310" s="85"/>
    </row>
    <row r="311" spans="4:4" x14ac:dyDescent="0.3">
      <c r="D311" s="85"/>
    </row>
    <row r="312" spans="4:4" x14ac:dyDescent="0.3">
      <c r="D312" s="85"/>
    </row>
    <row r="313" spans="4:4" x14ac:dyDescent="0.3">
      <c r="D313" s="85"/>
    </row>
    <row r="314" spans="4:4" x14ac:dyDescent="0.3">
      <c r="D314" s="85"/>
    </row>
    <row r="315" spans="4:4" x14ac:dyDescent="0.3">
      <c r="D315" s="85"/>
    </row>
    <row r="316" spans="4:4" x14ac:dyDescent="0.3">
      <c r="D316" s="85"/>
    </row>
    <row r="317" spans="4:4" x14ac:dyDescent="0.3">
      <c r="D317" s="85"/>
    </row>
    <row r="318" spans="4:4" x14ac:dyDescent="0.3">
      <c r="D318" s="85"/>
    </row>
    <row r="319" spans="4:4" x14ac:dyDescent="0.3">
      <c r="D319" s="85"/>
    </row>
    <row r="320" spans="4:4" x14ac:dyDescent="0.3">
      <c r="D320" s="85"/>
    </row>
    <row r="321" spans="4:4" x14ac:dyDescent="0.3">
      <c r="D321" s="85"/>
    </row>
    <row r="322" spans="4:4" x14ac:dyDescent="0.3">
      <c r="D322" s="85"/>
    </row>
    <row r="323" spans="4:4" x14ac:dyDescent="0.3">
      <c r="D323" s="85"/>
    </row>
    <row r="324" spans="4:4" x14ac:dyDescent="0.3">
      <c r="D324" s="85"/>
    </row>
    <row r="325" spans="4:4" x14ac:dyDescent="0.3">
      <c r="D325" s="85"/>
    </row>
    <row r="326" spans="4:4" x14ac:dyDescent="0.3">
      <c r="D326" s="85"/>
    </row>
    <row r="327" spans="4:4" x14ac:dyDescent="0.3">
      <c r="D327" s="85"/>
    </row>
    <row r="328" spans="4:4" x14ac:dyDescent="0.3">
      <c r="D328" s="85"/>
    </row>
    <row r="329" spans="4:4" x14ac:dyDescent="0.3">
      <c r="D329" s="85"/>
    </row>
    <row r="330" spans="4:4" x14ac:dyDescent="0.3">
      <c r="D330" s="85"/>
    </row>
    <row r="331" spans="4:4" x14ac:dyDescent="0.3">
      <c r="D331" s="85"/>
    </row>
    <row r="332" spans="4:4" x14ac:dyDescent="0.3">
      <c r="D332" s="85"/>
    </row>
    <row r="333" spans="4:4" x14ac:dyDescent="0.3">
      <c r="D333" s="85"/>
    </row>
    <row r="334" spans="4:4" x14ac:dyDescent="0.3">
      <c r="D334" s="85"/>
    </row>
    <row r="335" spans="4:4" x14ac:dyDescent="0.3">
      <c r="D335" s="85"/>
    </row>
    <row r="336" spans="4:4" x14ac:dyDescent="0.3">
      <c r="D336" s="85"/>
    </row>
    <row r="337" spans="4:4" x14ac:dyDescent="0.3">
      <c r="D337" s="85"/>
    </row>
    <row r="338" spans="4:4" x14ac:dyDescent="0.3">
      <c r="D338" s="85"/>
    </row>
    <row r="339" spans="4:4" x14ac:dyDescent="0.3">
      <c r="D339" s="85"/>
    </row>
    <row r="340" spans="4:4" x14ac:dyDescent="0.3">
      <c r="D340" s="85"/>
    </row>
    <row r="341" spans="4:4" x14ac:dyDescent="0.3">
      <c r="D341" s="85"/>
    </row>
    <row r="342" spans="4:4" x14ac:dyDescent="0.3">
      <c r="D342" s="85"/>
    </row>
    <row r="343" spans="4:4" x14ac:dyDescent="0.3">
      <c r="D343" s="85"/>
    </row>
    <row r="344" spans="4:4" x14ac:dyDescent="0.3">
      <c r="D344" s="85"/>
    </row>
    <row r="345" spans="4:4" x14ac:dyDescent="0.3">
      <c r="D345" s="85"/>
    </row>
    <row r="346" spans="4:4" x14ac:dyDescent="0.3">
      <c r="D346" s="85"/>
    </row>
    <row r="347" spans="4:4" x14ac:dyDescent="0.3">
      <c r="D347" s="85"/>
    </row>
    <row r="348" spans="4:4" x14ac:dyDescent="0.3">
      <c r="D348" s="85"/>
    </row>
    <row r="349" spans="4:4" x14ac:dyDescent="0.3">
      <c r="D349" s="85"/>
    </row>
    <row r="350" spans="4:4" x14ac:dyDescent="0.3">
      <c r="D350" s="85"/>
    </row>
    <row r="351" spans="4:4" x14ac:dyDescent="0.3">
      <c r="D351" s="85"/>
    </row>
    <row r="352" spans="4:4" x14ac:dyDescent="0.3">
      <c r="D352" s="85"/>
    </row>
    <row r="353" spans="4:4" x14ac:dyDescent="0.3">
      <c r="D353" s="85"/>
    </row>
    <row r="354" spans="4:4" x14ac:dyDescent="0.3">
      <c r="D354" s="85"/>
    </row>
    <row r="355" spans="4:4" x14ac:dyDescent="0.3">
      <c r="D355" s="85"/>
    </row>
    <row r="356" spans="4:4" x14ac:dyDescent="0.3">
      <c r="D356" s="85"/>
    </row>
    <row r="357" spans="4:4" x14ac:dyDescent="0.3">
      <c r="D357" s="85"/>
    </row>
    <row r="358" spans="4:4" x14ac:dyDescent="0.3">
      <c r="D358" s="85"/>
    </row>
    <row r="359" spans="4:4" x14ac:dyDescent="0.3">
      <c r="D359" s="85"/>
    </row>
    <row r="360" spans="4:4" x14ac:dyDescent="0.3">
      <c r="D360" s="85"/>
    </row>
    <row r="361" spans="4:4" x14ac:dyDescent="0.3">
      <c r="D361" s="85"/>
    </row>
    <row r="362" spans="4:4" x14ac:dyDescent="0.3">
      <c r="D362" s="85"/>
    </row>
    <row r="363" spans="4:4" x14ac:dyDescent="0.3">
      <c r="D363" s="85"/>
    </row>
    <row r="364" spans="4:4" x14ac:dyDescent="0.3">
      <c r="D364" s="85"/>
    </row>
    <row r="365" spans="4:4" x14ac:dyDescent="0.3">
      <c r="D365" s="85"/>
    </row>
    <row r="366" spans="4:4" x14ac:dyDescent="0.3">
      <c r="D366" s="85"/>
    </row>
    <row r="367" spans="4:4" x14ac:dyDescent="0.3">
      <c r="D367" s="85"/>
    </row>
    <row r="368" spans="4:4" x14ac:dyDescent="0.3">
      <c r="D368" s="85"/>
    </row>
    <row r="369" spans="4:4" x14ac:dyDescent="0.3">
      <c r="D369" s="85"/>
    </row>
    <row r="370" spans="4:4" x14ac:dyDescent="0.3">
      <c r="D370" s="85"/>
    </row>
    <row r="371" spans="4:4" x14ac:dyDescent="0.3">
      <c r="D371" s="85"/>
    </row>
    <row r="372" spans="4:4" x14ac:dyDescent="0.3">
      <c r="D372" s="85"/>
    </row>
    <row r="373" spans="4:4" x14ac:dyDescent="0.3">
      <c r="D373" s="85"/>
    </row>
    <row r="374" spans="4:4" x14ac:dyDescent="0.3">
      <c r="D374" s="85"/>
    </row>
    <row r="375" spans="4:4" x14ac:dyDescent="0.3">
      <c r="D375" s="85"/>
    </row>
  </sheetData>
  <mergeCells count="2">
    <mergeCell ref="A2:P2"/>
    <mergeCell ref="H4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31750</xdr:rowOff>
                  </from>
                  <to>
                    <xdr:col>0</xdr:col>
                    <xdr:colOff>914400</xdr:colOff>
                    <xdr:row>0</xdr:row>
                    <xdr:rowOff>539750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7DDA5-90B7-4823-A790-2EC231E90C52}">
  <sheetPr codeName="Sheet19"/>
  <dimension ref="A1:R81"/>
  <sheetViews>
    <sheetView showGridLines="0" zoomScale="87" workbookViewId="0">
      <selection activeCell="B1" sqref="B1"/>
    </sheetView>
  </sheetViews>
  <sheetFormatPr defaultRowHeight="14" x14ac:dyDescent="0.3"/>
  <cols>
    <col min="1" max="1" width="14.26953125" style="1" customWidth="1"/>
    <col min="2" max="2" width="8.81640625" style="1" bestFit="1" customWidth="1"/>
    <col min="3" max="3" width="13.08984375" style="1" customWidth="1"/>
    <col min="4" max="5" width="8.90625" style="1" bestFit="1" customWidth="1"/>
    <col min="6" max="6" width="4" style="1" customWidth="1"/>
    <col min="7" max="7" width="18.90625" style="1" customWidth="1"/>
    <col min="8" max="8" width="13.1796875" style="1" customWidth="1"/>
    <col min="9" max="10" width="8.90625" style="1" bestFit="1" customWidth="1"/>
    <col min="11" max="13" width="12.6328125" style="1" bestFit="1" customWidth="1"/>
    <col min="14" max="16" width="8.90625" style="1" bestFit="1" customWidth="1"/>
    <col min="17" max="17" width="8.7265625" style="1"/>
    <col min="18" max="18" width="76.90625" style="1" customWidth="1"/>
    <col min="19" max="16384" width="8.7265625" style="1"/>
  </cols>
  <sheetData>
    <row r="1" spans="1:18" ht="61" customHeight="1" thickBot="1" x14ac:dyDescent="0.35"/>
    <row r="2" spans="1:18" ht="57.5" customHeight="1" thickBot="1" x14ac:dyDescent="0.35">
      <c r="A2" s="188" t="s">
        <v>2322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90"/>
      <c r="R2" s="89" t="s">
        <v>32</v>
      </c>
    </row>
    <row r="3" spans="1:18" ht="42" x14ac:dyDescent="0.3">
      <c r="A3" s="27" t="s">
        <v>2288</v>
      </c>
      <c r="B3" s="1" t="s">
        <v>2289</v>
      </c>
      <c r="C3" s="1" t="s">
        <v>2314</v>
      </c>
      <c r="D3" s="1" t="s">
        <v>2318</v>
      </c>
      <c r="E3" s="1" t="s">
        <v>2290</v>
      </c>
      <c r="G3" s="1" t="s">
        <v>2291</v>
      </c>
      <c r="P3" s="75" t="s">
        <v>2313</v>
      </c>
      <c r="Q3" s="42" t="s">
        <v>2323</v>
      </c>
      <c r="R3" s="28"/>
    </row>
    <row r="4" spans="1:18" ht="14.5" thickBot="1" x14ac:dyDescent="0.35">
      <c r="A4" s="88">
        <v>32051</v>
      </c>
      <c r="B4" s="1">
        <v>7.2900000000000006E-2</v>
      </c>
      <c r="C4" s="1">
        <v>4.3557168784029009E-2</v>
      </c>
      <c r="D4" s="1">
        <v>5.7999999999999996E-2</v>
      </c>
      <c r="E4" s="1">
        <v>0</v>
      </c>
      <c r="P4" s="1">
        <f t="shared" ref="P4:P67" si="0">$H$19+$H$20*C4+$H$21*D4+$H$22*E4</f>
        <v>6.8808559153876847E-2</v>
      </c>
      <c r="Q4" s="107">
        <f>(B4-P4)/P4</f>
        <v>5.9461219598763208E-2</v>
      </c>
      <c r="R4" s="28"/>
    </row>
    <row r="5" spans="1:18" x14ac:dyDescent="0.3">
      <c r="A5" s="88">
        <v>32143</v>
      </c>
      <c r="B5" s="1">
        <v>6.83E-2</v>
      </c>
      <c r="C5" s="1">
        <v>4.1292639138240522E-2</v>
      </c>
      <c r="D5" s="1">
        <v>5.7000000000000002E-2</v>
      </c>
      <c r="E5" s="1">
        <v>0</v>
      </c>
      <c r="G5" s="77" t="s">
        <v>2293</v>
      </c>
      <c r="H5" s="77"/>
      <c r="K5" s="195" t="s">
        <v>2321</v>
      </c>
      <c r="L5" s="195"/>
      <c r="M5" s="195"/>
      <c r="N5" s="195"/>
      <c r="P5" s="1">
        <f t="shared" si="0"/>
        <v>6.737252433592375E-2</v>
      </c>
      <c r="Q5" s="107">
        <f t="shared" ref="Q5:Q68" si="1">(B5-P5)/P5</f>
        <v>1.3766378404522828E-2</v>
      </c>
      <c r="R5" s="28"/>
    </row>
    <row r="6" spans="1:18" x14ac:dyDescent="0.3">
      <c r="A6" s="88">
        <v>32234</v>
      </c>
      <c r="B6" s="1">
        <v>6.8699999999999997E-2</v>
      </c>
      <c r="C6" s="1">
        <v>3.9929015084294583E-2</v>
      </c>
      <c r="D6" s="1">
        <v>5.5E-2</v>
      </c>
      <c r="E6" s="1">
        <v>0</v>
      </c>
      <c r="G6" s="1" t="s">
        <v>2294</v>
      </c>
      <c r="H6" s="1">
        <v>0.92097371632672465</v>
      </c>
      <c r="K6" s="78" cm="1">
        <f t="array" ref="K6:N10">LINEST(B4:B80,C4:E80,TRUE,TRUE)</f>
        <v>-2.6371273590051602E-2</v>
      </c>
      <c r="L6" s="78">
        <v>-1.313257598987571</v>
      </c>
      <c r="M6" s="78">
        <v>1.2140677522388446</v>
      </c>
      <c r="N6" s="78">
        <v>9.2096145895641898E-2</v>
      </c>
      <c r="P6" s="1">
        <f t="shared" si="0"/>
        <v>6.834350754382594E-2</v>
      </c>
      <c r="Q6" s="107">
        <f t="shared" si="1"/>
        <v>5.2161861307082101E-3</v>
      </c>
      <c r="R6" s="28"/>
    </row>
    <row r="7" spans="1:18" x14ac:dyDescent="0.3">
      <c r="A7" s="88">
        <v>32325</v>
      </c>
      <c r="B7" s="1">
        <v>7.7499999999999999E-2</v>
      </c>
      <c r="C7" s="1">
        <v>4.1300527240773315E-2</v>
      </c>
      <c r="D7" s="1">
        <v>5.5E-2</v>
      </c>
      <c r="E7" s="1">
        <v>0</v>
      </c>
      <c r="G7" s="1" t="s">
        <v>2295</v>
      </c>
      <c r="H7" s="1">
        <v>0.8481925861646582</v>
      </c>
      <c r="K7" s="1">
        <v>2.2556769904424887E-3</v>
      </c>
      <c r="L7" s="1">
        <v>0.11598035472922356</v>
      </c>
      <c r="M7" s="1">
        <v>9.5618187710497876E-2</v>
      </c>
      <c r="N7" s="1">
        <v>7.1994865287920949E-3</v>
      </c>
      <c r="P7" s="1">
        <f t="shared" si="0"/>
        <v>7.0008616224810319E-2</v>
      </c>
      <c r="Q7" s="107">
        <f t="shared" si="1"/>
        <v>0.10700659688992414</v>
      </c>
      <c r="R7" s="28"/>
    </row>
    <row r="8" spans="1:18" x14ac:dyDescent="0.3">
      <c r="A8" s="88">
        <v>32417</v>
      </c>
      <c r="B8" s="1">
        <v>8.3000000000000004E-2</v>
      </c>
      <c r="C8" s="1">
        <v>4.2608695652173963E-2</v>
      </c>
      <c r="D8" s="1">
        <v>5.2999999999999999E-2</v>
      </c>
      <c r="E8" s="1">
        <v>0</v>
      </c>
      <c r="G8" s="1" t="s">
        <v>2296</v>
      </c>
      <c r="H8" s="1">
        <v>0.84195392532211</v>
      </c>
      <c r="K8" s="1">
        <v>0.8481925861646582</v>
      </c>
      <c r="L8" s="1">
        <v>8.8425165468031513E-3</v>
      </c>
      <c r="M8" s="1" t="e">
        <v>#N/A</v>
      </c>
      <c r="N8" s="1" t="e">
        <v>#N/A</v>
      </c>
      <c r="P8" s="1">
        <f t="shared" si="0"/>
        <v>7.4223336505564494E-2</v>
      </c>
      <c r="Q8" s="107">
        <f t="shared" si="1"/>
        <v>0.11824668504059403</v>
      </c>
      <c r="R8" s="28"/>
    </row>
    <row r="9" spans="1:18" x14ac:dyDescent="0.3">
      <c r="A9" s="88">
        <v>32509</v>
      </c>
      <c r="B9" s="1">
        <v>9.1200000000000003E-2</v>
      </c>
      <c r="C9" s="1">
        <v>4.4827586206896579E-2</v>
      </c>
      <c r="D9" s="1">
        <v>5.2000000000000005E-2</v>
      </c>
      <c r="E9" s="1">
        <v>0</v>
      </c>
      <c r="G9" s="1" t="s">
        <v>2297</v>
      </c>
      <c r="H9" s="1">
        <v>8.8425165468031513E-3</v>
      </c>
      <c r="K9" s="1">
        <v>135.95747670395863</v>
      </c>
      <c r="L9" s="1">
        <v>73</v>
      </c>
      <c r="M9" s="1" t="e">
        <v>#N/A</v>
      </c>
      <c r="N9" s="1" t="e">
        <v>#N/A</v>
      </c>
      <c r="P9" s="1">
        <f t="shared" si="0"/>
        <v>7.8230477572788157E-2</v>
      </c>
      <c r="Q9" s="107">
        <f t="shared" si="1"/>
        <v>0.16578605716863462</v>
      </c>
      <c r="R9" s="28"/>
    </row>
    <row r="10" spans="1:18" ht="14.5" thickBot="1" x14ac:dyDescent="0.35">
      <c r="A10" s="88">
        <v>32599</v>
      </c>
      <c r="B10" s="1">
        <v>9.8400000000000001E-2</v>
      </c>
      <c r="C10" s="1">
        <v>5.0341296928327568E-2</v>
      </c>
      <c r="D10" s="1">
        <v>5.2000000000000005E-2</v>
      </c>
      <c r="E10" s="1">
        <v>0</v>
      </c>
      <c r="G10" s="30" t="s">
        <v>2298</v>
      </c>
      <c r="H10" s="30">
        <v>77</v>
      </c>
      <c r="K10" s="1">
        <v>3.189158564107232E-2</v>
      </c>
      <c r="L10" s="1">
        <v>5.7078772182755904E-3</v>
      </c>
      <c r="M10" s="1" t="e">
        <v>#N/A</v>
      </c>
      <c r="N10" s="1" t="e">
        <v>#N/A</v>
      </c>
      <c r="P10" s="1">
        <f t="shared" si="0"/>
        <v>8.492449595485109E-2</v>
      </c>
      <c r="Q10" s="107">
        <f t="shared" si="1"/>
        <v>0.15867629114116819</v>
      </c>
      <c r="R10" s="28"/>
    </row>
    <row r="11" spans="1:18" x14ac:dyDescent="0.3">
      <c r="A11" s="88">
        <v>32690</v>
      </c>
      <c r="B11" s="1">
        <v>9.2399999999999996E-2</v>
      </c>
      <c r="C11" s="1">
        <v>5.0632911392405063E-2</v>
      </c>
      <c r="D11" s="1">
        <v>5.2000000000000005E-2</v>
      </c>
      <c r="E11" s="1">
        <v>0</v>
      </c>
      <c r="J11" s="1" t="s">
        <v>2320</v>
      </c>
      <c r="K11" s="108">
        <f>K6/K7</f>
        <v>-11.691068225543425</v>
      </c>
      <c r="L11" s="108">
        <f t="shared" ref="L11:N11" si="2">L6/L7</f>
        <v>-11.323103831279019</v>
      </c>
      <c r="M11" s="108">
        <f t="shared" si="2"/>
        <v>12.697037889011911</v>
      </c>
      <c r="N11" s="108">
        <f t="shared" si="2"/>
        <v>12.792043644686627</v>
      </c>
      <c r="P11" s="1">
        <f t="shared" si="0"/>
        <v>8.5278535671774E-2</v>
      </c>
      <c r="Q11" s="107">
        <f t="shared" si="1"/>
        <v>8.3508285785248312E-2</v>
      </c>
      <c r="R11" s="28"/>
    </row>
    <row r="12" spans="1:18" ht="14.5" thickBot="1" x14ac:dyDescent="0.35">
      <c r="A12" s="88">
        <v>32782</v>
      </c>
      <c r="B12" s="1">
        <v>8.8400000000000006E-2</v>
      </c>
      <c r="C12" s="1">
        <v>4.5871559633027519E-2</v>
      </c>
      <c r="D12" s="1">
        <v>5.4000000000000006E-2</v>
      </c>
      <c r="E12" s="1">
        <v>0</v>
      </c>
      <c r="G12" s="1" t="s">
        <v>2299</v>
      </c>
      <c r="P12" s="1">
        <f t="shared" si="0"/>
        <v>7.6871416845672891E-2</v>
      </c>
      <c r="Q12" s="107">
        <f t="shared" si="1"/>
        <v>0.14997229955409702</v>
      </c>
      <c r="R12" s="28"/>
    </row>
    <row r="13" spans="1:18" x14ac:dyDescent="0.3">
      <c r="A13" s="88">
        <v>32874</v>
      </c>
      <c r="B13" s="1">
        <v>8.2299999999999998E-2</v>
      </c>
      <c r="C13" s="1">
        <v>5.1980198019801957E-2</v>
      </c>
      <c r="D13" s="1">
        <v>5.2999999999999999E-2</v>
      </c>
      <c r="E13" s="1">
        <v>0</v>
      </c>
      <c r="G13" s="79"/>
      <c r="H13" s="79" t="s">
        <v>2300</v>
      </c>
      <c r="I13" s="79" t="s">
        <v>2301</v>
      </c>
      <c r="J13" s="79" t="s">
        <v>2302</v>
      </c>
      <c r="K13" s="79" t="s">
        <v>59</v>
      </c>
      <c r="L13" s="79" t="s">
        <v>2303</v>
      </c>
      <c r="P13" s="1">
        <f t="shared" si="0"/>
        <v>8.5600975320131625E-2</v>
      </c>
      <c r="Q13" s="107">
        <f t="shared" si="1"/>
        <v>-3.8562356419265052E-2</v>
      </c>
      <c r="R13" s="28"/>
    </row>
    <row r="14" spans="1:18" x14ac:dyDescent="0.3">
      <c r="A14" s="88">
        <v>32964</v>
      </c>
      <c r="B14" s="1">
        <v>8.2600000000000007E-2</v>
      </c>
      <c r="C14" s="1">
        <v>4.7116165718927794E-2</v>
      </c>
      <c r="D14" s="1">
        <v>5.2999999999999999E-2</v>
      </c>
      <c r="E14" s="1">
        <v>0</v>
      </c>
      <c r="G14" s="1" t="s">
        <v>2304</v>
      </c>
      <c r="H14" s="1">
        <v>3</v>
      </c>
      <c r="I14" s="1">
        <v>3.189158564107232E-2</v>
      </c>
      <c r="J14" s="1">
        <v>1.0630528547024107E-2</v>
      </c>
      <c r="K14" s="1">
        <v>135.95747670395863</v>
      </c>
      <c r="L14" s="1">
        <v>8.3271602532666116E-30</v>
      </c>
      <c r="P14" s="1">
        <f t="shared" si="0"/>
        <v>7.9695710557792218E-2</v>
      </c>
      <c r="Q14" s="107">
        <f t="shared" si="1"/>
        <v>3.6442230351929811E-2</v>
      </c>
      <c r="R14" s="28"/>
    </row>
    <row r="15" spans="1:18" x14ac:dyDescent="0.3">
      <c r="A15" s="88">
        <v>33055</v>
      </c>
      <c r="B15" s="1">
        <v>8.1500000000000003E-2</v>
      </c>
      <c r="C15" s="1">
        <v>4.8192771084337352E-2</v>
      </c>
      <c r="D15" s="1">
        <v>5.7000000000000002E-2</v>
      </c>
      <c r="E15" s="1">
        <v>0</v>
      </c>
      <c r="G15" s="1" t="s">
        <v>2305</v>
      </c>
      <c r="H15" s="1">
        <v>73</v>
      </c>
      <c r="I15" s="1">
        <v>5.7078772182755904E-3</v>
      </c>
      <c r="J15" s="1">
        <v>7.8190098880487533E-5</v>
      </c>
      <c r="P15" s="1">
        <f t="shared" si="0"/>
        <v>7.5749752017872984E-2</v>
      </c>
      <c r="Q15" s="107">
        <f t="shared" si="1"/>
        <v>7.5911112960082835E-2</v>
      </c>
      <c r="R15" s="28"/>
    </row>
    <row r="16" spans="1:18" ht="14.5" thickBot="1" x14ac:dyDescent="0.35">
      <c r="A16" s="88">
        <v>33147</v>
      </c>
      <c r="B16" s="1">
        <v>8.1100000000000005E-2</v>
      </c>
      <c r="C16" s="1">
        <v>6.3795853269537475E-2</v>
      </c>
      <c r="D16" s="1">
        <v>6.0999999999999999E-2</v>
      </c>
      <c r="E16" s="1">
        <v>0</v>
      </c>
      <c r="G16" s="30" t="s">
        <v>2306</v>
      </c>
      <c r="H16" s="30">
        <v>76</v>
      </c>
      <c r="I16" s="30">
        <v>3.7599462859347912E-2</v>
      </c>
      <c r="J16" s="30"/>
      <c r="K16" s="30"/>
      <c r="L16" s="30"/>
      <c r="P16" s="1">
        <f t="shared" si="0"/>
        <v>8.9439920538506593E-2</v>
      </c>
      <c r="Q16" s="107">
        <f t="shared" si="1"/>
        <v>-9.3246063819075048E-2</v>
      </c>
      <c r="R16" s="28"/>
    </row>
    <row r="17" spans="1:18" ht="14.5" thickBot="1" x14ac:dyDescent="0.35">
      <c r="A17" s="88">
        <v>33239</v>
      </c>
      <c r="B17" s="1">
        <v>6.9099999999999995E-2</v>
      </c>
      <c r="C17" s="1">
        <v>5.6470588235294029E-2</v>
      </c>
      <c r="D17" s="1">
        <v>6.6000000000000003E-2</v>
      </c>
      <c r="E17" s="1">
        <v>0</v>
      </c>
      <c r="P17" s="1">
        <f t="shared" si="0"/>
        <v>7.3980264488890946E-2</v>
      </c>
      <c r="Q17" s="107">
        <f t="shared" si="1"/>
        <v>-6.5967113291731785E-2</v>
      </c>
      <c r="R17" s="28"/>
    </row>
    <row r="18" spans="1:18" x14ac:dyDescent="0.3">
      <c r="A18" s="88">
        <v>33329</v>
      </c>
      <c r="B18" s="1">
        <v>5.91E-2</v>
      </c>
      <c r="C18" s="1">
        <v>4.8099301784328849E-2</v>
      </c>
      <c r="D18" s="1">
        <v>6.8000000000000005E-2</v>
      </c>
      <c r="E18" s="1">
        <v>0</v>
      </c>
      <c r="G18" s="79"/>
      <c r="H18" s="79" t="s">
        <v>2307</v>
      </c>
      <c r="I18" s="79" t="s">
        <v>2297</v>
      </c>
      <c r="J18" s="79" t="s">
        <v>2308</v>
      </c>
      <c r="K18" s="79" t="s">
        <v>2309</v>
      </c>
      <c r="L18" s="79" t="s">
        <v>2310</v>
      </c>
      <c r="M18" s="79" t="s">
        <v>2311</v>
      </c>
      <c r="N18" s="79" t="s">
        <v>2315</v>
      </c>
      <c r="O18" s="79" t="s">
        <v>2316</v>
      </c>
      <c r="P18" s="1">
        <f t="shared" si="0"/>
        <v>6.119044036604504E-2</v>
      </c>
      <c r="Q18" s="107">
        <f t="shared" si="1"/>
        <v>-3.4162858667790189E-2</v>
      </c>
      <c r="R18" s="28"/>
    </row>
    <row r="19" spans="1:18" x14ac:dyDescent="0.3">
      <c r="A19" s="88">
        <v>33420</v>
      </c>
      <c r="B19" s="1">
        <v>5.8200000000000002E-2</v>
      </c>
      <c r="C19" s="1">
        <v>4.3678160919540146E-2</v>
      </c>
      <c r="D19" s="1">
        <v>6.9000000000000006E-2</v>
      </c>
      <c r="E19" s="1">
        <v>0</v>
      </c>
      <c r="G19" s="1" t="s">
        <v>2312</v>
      </c>
      <c r="H19" s="109">
        <v>9.2096145895641898E-2</v>
      </c>
      <c r="I19" s="1">
        <v>7.1994865287920949E-3</v>
      </c>
      <c r="J19" s="108">
        <v>12.792043644686627</v>
      </c>
      <c r="K19" s="1">
        <v>2.5331114545483305E-20</v>
      </c>
      <c r="L19" s="1">
        <v>7.7747589935876507E-2</v>
      </c>
      <c r="M19" s="1">
        <v>0.10644470185540729</v>
      </c>
      <c r="N19" s="1">
        <v>7.7747589935876507E-2</v>
      </c>
      <c r="O19" s="1">
        <v>0.10644470185540729</v>
      </c>
      <c r="P19" s="1">
        <f t="shared" si="0"/>
        <v>5.4509618215012143E-2</v>
      </c>
      <c r="Q19" s="107">
        <f t="shared" si="1"/>
        <v>6.7701479222092853E-2</v>
      </c>
      <c r="R19" s="28"/>
    </row>
    <row r="20" spans="1:18" x14ac:dyDescent="0.3">
      <c r="A20" s="88">
        <v>33512</v>
      </c>
      <c r="B20" s="1">
        <v>5.21E-2</v>
      </c>
      <c r="C20" s="1">
        <v>2.8485757121439151E-2</v>
      </c>
      <c r="D20" s="1">
        <v>7.0999999999999994E-2</v>
      </c>
      <c r="E20" s="1">
        <v>0</v>
      </c>
      <c r="G20" s="1" t="s">
        <v>2314</v>
      </c>
      <c r="H20" s="109">
        <v>1.2140677522388446</v>
      </c>
      <c r="I20" s="1">
        <v>9.5618187710497876E-2</v>
      </c>
      <c r="J20" s="108">
        <v>12.697037889011911</v>
      </c>
      <c r="K20" s="1">
        <v>3.6955108472929414E-20</v>
      </c>
      <c r="L20" s="1">
        <v>1.0235009789490255</v>
      </c>
      <c r="M20" s="1">
        <v>1.4046345255286636</v>
      </c>
      <c r="N20" s="1">
        <v>1.0235009789490255</v>
      </c>
      <c r="O20" s="1">
        <v>1.4046345255286636</v>
      </c>
      <c r="P20" s="1">
        <f t="shared" si="0"/>
        <v>3.3438495486771663E-2</v>
      </c>
      <c r="Q20" s="107">
        <f t="shared" si="1"/>
        <v>0.55808445450576172</v>
      </c>
      <c r="R20" s="28"/>
    </row>
    <row r="21" spans="1:18" x14ac:dyDescent="0.3">
      <c r="A21" s="88">
        <v>33604</v>
      </c>
      <c r="B21" s="1">
        <v>4.0300000000000002E-2</v>
      </c>
      <c r="C21" s="1">
        <v>2.6726057906458968E-2</v>
      </c>
      <c r="D21" s="1">
        <v>7.400000000000001E-2</v>
      </c>
      <c r="E21" s="1">
        <v>0</v>
      </c>
      <c r="G21" s="1" t="s">
        <v>2318</v>
      </c>
      <c r="H21" s="109">
        <v>-1.313257598987571</v>
      </c>
      <c r="I21" s="1">
        <v>0.11598035472922356</v>
      </c>
      <c r="J21" s="108">
        <v>-11.323103831279019</v>
      </c>
      <c r="K21" s="1">
        <v>9.8012036580790839E-18</v>
      </c>
      <c r="L21" s="1">
        <v>-1.5444061126225996</v>
      </c>
      <c r="M21" s="1">
        <v>-1.0821090853525424</v>
      </c>
      <c r="N21" s="1">
        <v>-1.5444061126225996</v>
      </c>
      <c r="O21" s="1">
        <v>-1.0821090853525424</v>
      </c>
      <c r="P21" s="1">
        <f t="shared" si="0"/>
        <v>2.7362328619261467E-2</v>
      </c>
      <c r="Q21" s="107">
        <f t="shared" si="1"/>
        <v>0.47282786347471822</v>
      </c>
      <c r="R21" s="28"/>
    </row>
    <row r="22" spans="1:18" ht="14.5" thickBot="1" x14ac:dyDescent="0.35">
      <c r="A22" s="88">
        <v>33695</v>
      </c>
      <c r="B22" s="1">
        <v>3.73E-2</v>
      </c>
      <c r="C22" s="1">
        <v>3.1828275351591502E-2</v>
      </c>
      <c r="D22" s="1">
        <v>7.5999999999999998E-2</v>
      </c>
      <c r="E22" s="1">
        <v>0</v>
      </c>
      <c r="G22" s="30" t="s">
        <v>2290</v>
      </c>
      <c r="H22" s="86">
        <v>-2.6371273590051602E-2</v>
      </c>
      <c r="I22" s="30">
        <v>2.2556769904424887E-3</v>
      </c>
      <c r="J22" s="83">
        <v>-11.691068225543425</v>
      </c>
      <c r="K22" s="30">
        <v>2.1530196140314984E-18</v>
      </c>
      <c r="L22" s="30">
        <v>-3.0866831348939364E-2</v>
      </c>
      <c r="M22" s="30">
        <v>-2.187571583116384E-2</v>
      </c>
      <c r="N22" s="30">
        <v>-3.0866831348939364E-2</v>
      </c>
      <c r="O22" s="30">
        <v>-2.187571583116384E-2</v>
      </c>
      <c r="P22" s="1">
        <f t="shared" si="0"/>
        <v>3.0930251086332197E-2</v>
      </c>
      <c r="Q22" s="107">
        <f t="shared" si="1"/>
        <v>0.20593912722818269</v>
      </c>
      <c r="R22" s="28"/>
    </row>
    <row r="23" spans="1:18" x14ac:dyDescent="0.3">
      <c r="A23" s="88">
        <v>33786</v>
      </c>
      <c r="B23" s="1">
        <v>3.2500000000000001E-2</v>
      </c>
      <c r="C23" s="1">
        <v>3.1571218795888485E-2</v>
      </c>
      <c r="D23" s="1">
        <v>7.5999999999999998E-2</v>
      </c>
      <c r="E23" s="1">
        <v>0</v>
      </c>
      <c r="P23" s="1">
        <f t="shared" si="0"/>
        <v>3.0618167011551581E-2</v>
      </c>
      <c r="Q23" s="107">
        <f t="shared" si="1"/>
        <v>6.1461320912464971E-2</v>
      </c>
      <c r="R23" s="28"/>
    </row>
    <row r="24" spans="1:18" x14ac:dyDescent="0.3">
      <c r="A24" s="88">
        <v>33878</v>
      </c>
      <c r="B24" s="1">
        <v>3.1E-2</v>
      </c>
      <c r="C24" s="1">
        <v>3.2798833819241986E-2</v>
      </c>
      <c r="D24" s="1">
        <v>7.400000000000001E-2</v>
      </c>
      <c r="E24" s="1">
        <v>0</v>
      </c>
      <c r="P24" s="1">
        <f t="shared" si="0"/>
        <v>3.4735090021544138E-2</v>
      </c>
      <c r="Q24" s="107">
        <f t="shared" si="1"/>
        <v>-0.10753074252081918</v>
      </c>
      <c r="R24" s="28"/>
    </row>
    <row r="25" spans="1:18" x14ac:dyDescent="0.3">
      <c r="A25" s="88">
        <v>33970</v>
      </c>
      <c r="B25" s="1">
        <v>3.0200000000000001E-2</v>
      </c>
      <c r="C25" s="1">
        <v>3.2537960954446853E-2</v>
      </c>
      <c r="D25" s="1">
        <v>7.0999999999999994E-2</v>
      </c>
      <c r="E25" s="1">
        <v>0</v>
      </c>
      <c r="P25" s="1">
        <f t="shared" si="0"/>
        <v>3.8358145485924949E-2</v>
      </c>
      <c r="Q25" s="107">
        <f t="shared" si="1"/>
        <v>-0.21268352217180259</v>
      </c>
      <c r="R25" s="28"/>
    </row>
    <row r="26" spans="1:18" x14ac:dyDescent="0.3">
      <c r="A26" s="88">
        <v>34060</v>
      </c>
      <c r="B26" s="1">
        <v>2.9600000000000001E-2</v>
      </c>
      <c r="C26" s="1">
        <v>3.1563845050215249E-2</v>
      </c>
      <c r="D26" s="1">
        <v>7.0999999999999994E-2</v>
      </c>
      <c r="E26" s="1">
        <v>0</v>
      </c>
      <c r="P26" s="1">
        <f t="shared" si="0"/>
        <v>3.7175502779654368E-2</v>
      </c>
      <c r="Q26" s="107">
        <f t="shared" si="1"/>
        <v>-0.20377674041305321</v>
      </c>
      <c r="R26" s="28"/>
    </row>
    <row r="27" spans="1:18" x14ac:dyDescent="0.3">
      <c r="A27" s="88">
        <v>34151</v>
      </c>
      <c r="B27" s="1">
        <v>3.0599999999999999E-2</v>
      </c>
      <c r="C27" s="1">
        <v>2.8469750889679714E-2</v>
      </c>
      <c r="D27" s="1">
        <v>6.8000000000000005E-2</v>
      </c>
      <c r="E27" s="1">
        <v>0</v>
      </c>
      <c r="P27" s="1">
        <f t="shared" si="0"/>
        <v>3.7358835633920368E-2</v>
      </c>
      <c r="Q27" s="107">
        <f t="shared" si="1"/>
        <v>-0.18091665650798841</v>
      </c>
      <c r="R27" s="28"/>
    </row>
    <row r="28" spans="1:18" x14ac:dyDescent="0.3">
      <c r="A28" s="88">
        <v>34243</v>
      </c>
      <c r="B28" s="1">
        <v>2.9899999999999999E-2</v>
      </c>
      <c r="C28" s="1">
        <v>2.7522935779816557E-2</v>
      </c>
      <c r="D28" s="1">
        <v>6.6000000000000003E-2</v>
      </c>
      <c r="E28" s="1">
        <v>0</v>
      </c>
      <c r="P28" s="1">
        <f t="shared" si="0"/>
        <v>3.8835853139678161E-2</v>
      </c>
      <c r="Q28" s="107">
        <f t="shared" si="1"/>
        <v>-0.23009287597054226</v>
      </c>
      <c r="R28" s="28"/>
    </row>
    <row r="29" spans="1:18" x14ac:dyDescent="0.3">
      <c r="A29" s="88">
        <v>34335</v>
      </c>
      <c r="B29" s="1">
        <v>3.0499999999999999E-2</v>
      </c>
      <c r="C29" s="1">
        <v>2.4509803921568627E-2</v>
      </c>
      <c r="D29" s="1">
        <v>6.6000000000000003E-2</v>
      </c>
      <c r="E29" s="1">
        <v>0</v>
      </c>
      <c r="P29" s="1">
        <f t="shared" si="0"/>
        <v>3.5177706917335849E-2</v>
      </c>
      <c r="Q29" s="107">
        <f t="shared" si="1"/>
        <v>-0.13297361673766858</v>
      </c>
      <c r="R29" s="28"/>
    </row>
    <row r="30" spans="1:18" x14ac:dyDescent="0.3">
      <c r="A30" s="88">
        <v>34425</v>
      </c>
      <c r="B30" s="1">
        <v>3.56E-2</v>
      </c>
      <c r="C30" s="1">
        <v>2.3643949930458812E-2</v>
      </c>
      <c r="D30" s="1">
        <v>6.2E-2</v>
      </c>
      <c r="E30" s="1">
        <v>0</v>
      </c>
      <c r="P30" s="1">
        <f t="shared" si="0"/>
        <v>3.9379531904532417E-2</v>
      </c>
      <c r="Q30" s="107">
        <f t="shared" si="1"/>
        <v>-9.5977065285974328E-2</v>
      </c>
      <c r="R30" s="28"/>
    </row>
    <row r="31" spans="1:18" x14ac:dyDescent="0.3">
      <c r="A31" s="88">
        <v>34516</v>
      </c>
      <c r="B31" s="1">
        <v>4.2599999999999999E-2</v>
      </c>
      <c r="C31" s="1">
        <v>2.6989619377162669E-2</v>
      </c>
      <c r="D31" s="1">
        <v>0.06</v>
      </c>
      <c r="E31" s="1">
        <v>0</v>
      </c>
      <c r="P31" s="1">
        <f t="shared" si="0"/>
        <v>4.6067916487401481E-2</v>
      </c>
      <c r="Q31" s="107">
        <f t="shared" si="1"/>
        <v>-7.5278344492742094E-2</v>
      </c>
      <c r="R31" s="28"/>
    </row>
    <row r="32" spans="1:18" x14ac:dyDescent="0.3">
      <c r="A32" s="88">
        <v>34608</v>
      </c>
      <c r="B32" s="1">
        <v>4.7600000000000003E-2</v>
      </c>
      <c r="C32" s="1">
        <v>2.609890109890118E-2</v>
      </c>
      <c r="D32" s="1">
        <v>5.5999999999999994E-2</v>
      </c>
      <c r="E32" s="1">
        <v>0</v>
      </c>
      <c r="P32" s="1">
        <f t="shared" si="0"/>
        <v>5.0239554545384799E-2</v>
      </c>
      <c r="Q32" s="107">
        <f t="shared" si="1"/>
        <v>-5.2539370009746136E-2</v>
      </c>
      <c r="R32" s="28"/>
    </row>
    <row r="33" spans="1:18" x14ac:dyDescent="0.3">
      <c r="A33" s="88">
        <v>34700</v>
      </c>
      <c r="B33" s="1">
        <v>5.5300000000000002E-2</v>
      </c>
      <c r="C33" s="1">
        <v>2.8708133971291787E-2</v>
      </c>
      <c r="D33" s="1">
        <v>5.5E-2</v>
      </c>
      <c r="E33" s="1">
        <v>0</v>
      </c>
      <c r="P33" s="1">
        <f t="shared" si="0"/>
        <v>5.4720597632823317E-2</v>
      </c>
      <c r="Q33" s="107">
        <f t="shared" si="1"/>
        <v>1.0588377909621713E-2</v>
      </c>
      <c r="R33" s="28"/>
    </row>
    <row r="34" spans="1:18" x14ac:dyDescent="0.3">
      <c r="A34" s="88">
        <v>34790</v>
      </c>
      <c r="B34" s="1">
        <v>6.0499999999999998E-2</v>
      </c>
      <c r="C34" s="1">
        <v>3.125000000000016E-2</v>
      </c>
      <c r="D34" s="1">
        <v>5.7000000000000002E-2</v>
      </c>
      <c r="E34" s="1">
        <v>0</v>
      </c>
      <c r="P34" s="1">
        <f t="shared" si="0"/>
        <v>5.5180080010814453E-2</v>
      </c>
      <c r="Q34" s="107">
        <f t="shared" si="1"/>
        <v>9.6410153594248552E-2</v>
      </c>
      <c r="R34" s="28"/>
    </row>
    <row r="35" spans="1:18" x14ac:dyDescent="0.3">
      <c r="A35" s="88">
        <v>34881</v>
      </c>
      <c r="B35" s="1">
        <v>5.8500000000000003E-2</v>
      </c>
      <c r="C35" s="1">
        <v>2.8301886792452751E-2</v>
      </c>
      <c r="D35" s="1">
        <v>5.7000000000000002E-2</v>
      </c>
      <c r="E35" s="1">
        <v>0</v>
      </c>
      <c r="P35" s="1">
        <f t="shared" si="0"/>
        <v>5.1600870835581708E-2</v>
      </c>
      <c r="Q35" s="107">
        <f t="shared" si="1"/>
        <v>0.13370179713441885</v>
      </c>
      <c r="R35" s="28"/>
    </row>
    <row r="36" spans="1:18" x14ac:dyDescent="0.3">
      <c r="A36" s="88">
        <v>34973</v>
      </c>
      <c r="B36" s="1">
        <v>5.7599999999999998E-2</v>
      </c>
      <c r="C36" s="1">
        <v>2.7443105756358728E-2</v>
      </c>
      <c r="D36" s="1">
        <v>5.5999999999999994E-2</v>
      </c>
      <c r="E36" s="1">
        <v>0</v>
      </c>
      <c r="P36" s="1">
        <f t="shared" si="0"/>
        <v>5.1871510072413266E-2</v>
      </c>
      <c r="Q36" s="107">
        <f t="shared" si="1"/>
        <v>0.11043615116640504</v>
      </c>
      <c r="R36" s="28"/>
    </row>
    <row r="37" spans="1:18" x14ac:dyDescent="0.3">
      <c r="A37" s="88">
        <v>35065</v>
      </c>
      <c r="B37" s="1">
        <v>5.5599999999999997E-2</v>
      </c>
      <c r="C37" s="1">
        <v>2.790697674418597E-2</v>
      </c>
      <c r="D37" s="1">
        <v>5.5E-2</v>
      </c>
      <c r="E37" s="1">
        <v>0</v>
      </c>
      <c r="P37" s="1">
        <f t="shared" si="0"/>
        <v>5.3747938478921051E-2</v>
      </c>
      <c r="Q37" s="107">
        <f t="shared" si="1"/>
        <v>3.4458280140461393E-2</v>
      </c>
      <c r="R37" s="28"/>
    </row>
    <row r="38" spans="1:18" x14ac:dyDescent="0.3">
      <c r="A38" s="88">
        <v>35156</v>
      </c>
      <c r="B38" s="1">
        <v>5.2200000000000003E-2</v>
      </c>
      <c r="C38" s="1">
        <v>2.832674571804995E-2</v>
      </c>
      <c r="D38" s="1">
        <v>5.5E-2</v>
      </c>
      <c r="E38" s="1">
        <v>0</v>
      </c>
      <c r="P38" s="1">
        <f t="shared" si="0"/>
        <v>5.4257566453479719E-2</v>
      </c>
      <c r="Q38" s="107">
        <f t="shared" si="1"/>
        <v>-3.7922203076392443E-2</v>
      </c>
      <c r="R38" s="28"/>
    </row>
    <row r="39" spans="1:18" x14ac:dyDescent="0.3">
      <c r="A39" s="88">
        <v>35247</v>
      </c>
      <c r="B39" s="1">
        <v>5.3999999999999999E-2</v>
      </c>
      <c r="C39" s="1">
        <v>2.8833551769331625E-2</v>
      </c>
      <c r="D39" s="1">
        <v>5.2999999999999999E-2</v>
      </c>
      <c r="E39" s="1">
        <v>0</v>
      </c>
      <c r="P39" s="1">
        <f t="shared" si="0"/>
        <v>5.7499378534955445E-2</v>
      </c>
      <c r="Q39" s="107">
        <f t="shared" si="1"/>
        <v>-6.0859414903555481E-2</v>
      </c>
      <c r="R39" s="28"/>
    </row>
    <row r="40" spans="1:18" x14ac:dyDescent="0.3">
      <c r="A40" s="88">
        <v>35339</v>
      </c>
      <c r="B40" s="1">
        <v>5.2400000000000002E-2</v>
      </c>
      <c r="C40" s="1">
        <v>3.0618892508143248E-2</v>
      </c>
      <c r="D40" s="1">
        <v>5.2999999999999999E-2</v>
      </c>
      <c r="E40" s="1">
        <v>0</v>
      </c>
      <c r="P40" s="1">
        <f t="shared" si="0"/>
        <v>5.9666903152704912E-2</v>
      </c>
      <c r="Q40" s="107">
        <f t="shared" si="1"/>
        <v>-0.12179119023668442</v>
      </c>
      <c r="R40" s="28"/>
    </row>
    <row r="41" spans="1:18" x14ac:dyDescent="0.3">
      <c r="A41" s="88">
        <v>35431</v>
      </c>
      <c r="B41" s="1">
        <v>5.2499999999999998E-2</v>
      </c>
      <c r="C41" s="1">
        <v>3.0381383322559907E-2</v>
      </c>
      <c r="D41" s="1">
        <v>5.2000000000000005E-2</v>
      </c>
      <c r="E41" s="1">
        <v>0</v>
      </c>
      <c r="P41" s="1">
        <f t="shared" si="0"/>
        <v>6.0691808508615233E-2</v>
      </c>
      <c r="Q41" s="107">
        <f t="shared" si="1"/>
        <v>-0.1349738739034676</v>
      </c>
      <c r="R41" s="28"/>
    </row>
    <row r="42" spans="1:18" x14ac:dyDescent="0.3">
      <c r="A42" s="88">
        <v>35521</v>
      </c>
      <c r="B42" s="1">
        <v>5.5100000000000003E-2</v>
      </c>
      <c r="C42" s="1">
        <v>2.4343369634849531E-2</v>
      </c>
      <c r="D42" s="1">
        <v>0.05</v>
      </c>
      <c r="E42" s="1">
        <v>0</v>
      </c>
      <c r="P42" s="1">
        <f t="shared" si="0"/>
        <v>5.5987766000764452E-2</v>
      </c>
      <c r="Q42" s="107">
        <f t="shared" si="1"/>
        <v>-1.5856428362444889E-2</v>
      </c>
      <c r="R42" s="28"/>
    </row>
    <row r="43" spans="1:18" x14ac:dyDescent="0.3">
      <c r="A43" s="88">
        <v>35612</v>
      </c>
      <c r="B43" s="1">
        <v>5.5199999999999999E-2</v>
      </c>
      <c r="C43" s="1">
        <v>2.165605095541405E-2</v>
      </c>
      <c r="D43" s="1">
        <v>4.9000000000000002E-2</v>
      </c>
      <c r="E43" s="1">
        <v>0</v>
      </c>
      <c r="P43" s="1">
        <f t="shared" si="0"/>
        <v>5.403843665106034E-2</v>
      </c>
      <c r="Q43" s="107">
        <f t="shared" si="1"/>
        <v>2.1495132371059576E-2</v>
      </c>
      <c r="R43" s="28"/>
    </row>
    <row r="44" spans="1:18" x14ac:dyDescent="0.3">
      <c r="A44" s="88">
        <v>35704</v>
      </c>
      <c r="B44" s="1">
        <v>5.5E-2</v>
      </c>
      <c r="C44" s="1">
        <v>2.0859671302149253E-2</v>
      </c>
      <c r="D44" s="1">
        <v>4.7E-2</v>
      </c>
      <c r="E44" s="1">
        <v>0</v>
      </c>
      <c r="P44" s="1">
        <f t="shared" si="0"/>
        <v>5.5698092993467542E-2</v>
      </c>
      <c r="Q44" s="107">
        <f t="shared" si="1"/>
        <v>-1.253351696528311E-2</v>
      </c>
      <c r="R44" s="28"/>
    </row>
    <row r="45" spans="1:18" x14ac:dyDescent="0.3">
      <c r="A45" s="88">
        <v>35796</v>
      </c>
      <c r="B45" s="1">
        <v>5.5599999999999997E-2</v>
      </c>
      <c r="C45" s="1">
        <v>1.6311166875784155E-2</v>
      </c>
      <c r="D45" s="1">
        <v>4.5999999999999999E-2</v>
      </c>
      <c r="E45" s="1">
        <v>0</v>
      </c>
      <c r="P45" s="1">
        <f t="shared" si="0"/>
        <v>5.1489158047489603E-2</v>
      </c>
      <c r="Q45" s="107">
        <f t="shared" si="1"/>
        <v>7.9838981805040829E-2</v>
      </c>
      <c r="R45" s="28"/>
    </row>
    <row r="46" spans="1:18" x14ac:dyDescent="0.3">
      <c r="A46" s="88">
        <v>35886</v>
      </c>
      <c r="B46" s="1">
        <v>5.45E-2</v>
      </c>
      <c r="C46" s="1">
        <v>1.4383989993745985E-2</v>
      </c>
      <c r="D46" s="1">
        <v>4.4000000000000004E-2</v>
      </c>
      <c r="E46" s="1">
        <v>0</v>
      </c>
      <c r="P46" s="1">
        <f t="shared" si="0"/>
        <v>5.1775949940121982E-2</v>
      </c>
      <c r="Q46" s="107">
        <f t="shared" si="1"/>
        <v>5.2612266178183813E-2</v>
      </c>
      <c r="R46" s="28"/>
    </row>
    <row r="47" spans="1:18" x14ac:dyDescent="0.3">
      <c r="A47" s="88">
        <v>35977</v>
      </c>
      <c r="B47" s="1">
        <v>5.5399999999999998E-2</v>
      </c>
      <c r="C47" s="1">
        <v>1.7456359102244284E-2</v>
      </c>
      <c r="D47" s="1">
        <v>4.4999999999999998E-2</v>
      </c>
      <c r="E47" s="1">
        <v>0</v>
      </c>
      <c r="P47" s="1">
        <f t="shared" si="0"/>
        <v>5.419275659873702E-2</v>
      </c>
      <c r="Q47" s="107">
        <f t="shared" si="1"/>
        <v>2.2276840615469137E-2</v>
      </c>
      <c r="R47" s="28"/>
    </row>
    <row r="48" spans="1:18" x14ac:dyDescent="0.3">
      <c r="A48" s="88">
        <v>36069</v>
      </c>
      <c r="B48" s="1">
        <v>5.0700000000000002E-2</v>
      </c>
      <c r="C48" s="1">
        <v>1.4860681114551119E-2</v>
      </c>
      <c r="D48" s="1">
        <v>4.4000000000000004E-2</v>
      </c>
      <c r="E48" s="1">
        <v>0</v>
      </c>
      <c r="P48" s="1">
        <f t="shared" si="0"/>
        <v>5.2354685257670092E-2</v>
      </c>
      <c r="Q48" s="107">
        <f t="shared" si="1"/>
        <v>-3.160529472245608E-2</v>
      </c>
      <c r="R48" s="28"/>
    </row>
    <row r="49" spans="1:18" x14ac:dyDescent="0.3">
      <c r="A49" s="88">
        <v>36161</v>
      </c>
      <c r="B49" s="1">
        <v>4.6300000000000001E-2</v>
      </c>
      <c r="C49" s="1">
        <v>1.6666666666666597E-2</v>
      </c>
      <c r="D49" s="1">
        <v>4.2999999999999997E-2</v>
      </c>
      <c r="E49" s="1">
        <v>0</v>
      </c>
      <c r="P49" s="1">
        <f t="shared" si="0"/>
        <v>5.5860531676490341E-2</v>
      </c>
      <c r="Q49" s="107">
        <f t="shared" si="1"/>
        <v>-0.17115003007595825</v>
      </c>
      <c r="R49" s="28"/>
    </row>
    <row r="50" spans="1:18" x14ac:dyDescent="0.3">
      <c r="A50" s="88">
        <v>36251</v>
      </c>
      <c r="B50" s="1">
        <v>4.7399999999999998E-2</v>
      </c>
      <c r="C50" s="1">
        <v>2.2811344019728837E-2</v>
      </c>
      <c r="D50" s="1">
        <v>4.2999999999999997E-2</v>
      </c>
      <c r="E50" s="1">
        <v>0</v>
      </c>
      <c r="P50" s="1">
        <f t="shared" si="0"/>
        <v>6.3320586298755546E-2</v>
      </c>
      <c r="Q50" s="107">
        <f t="shared" si="1"/>
        <v>-0.25142828311222443</v>
      </c>
      <c r="R50" s="28"/>
    </row>
    <row r="51" spans="1:18" x14ac:dyDescent="0.3">
      <c r="A51" s="88">
        <v>36342</v>
      </c>
      <c r="B51" s="1">
        <v>4.99E-2</v>
      </c>
      <c r="C51" s="1">
        <v>2.1446078431372549E-2</v>
      </c>
      <c r="D51" s="1">
        <v>4.2000000000000003E-2</v>
      </c>
      <c r="E51" s="1">
        <v>0</v>
      </c>
      <c r="P51" s="1">
        <f t="shared" si="0"/>
        <v>6.297631897367835E-2</v>
      </c>
      <c r="Q51" s="107">
        <f t="shared" si="1"/>
        <v>-0.20763866778469128</v>
      </c>
      <c r="R51" s="28"/>
    </row>
    <row r="52" spans="1:18" x14ac:dyDescent="0.3">
      <c r="A52" s="88">
        <v>36434</v>
      </c>
      <c r="B52" s="1">
        <v>5.1999999999999998E-2</v>
      </c>
      <c r="C52" s="1">
        <v>2.5625381330079248E-2</v>
      </c>
      <c r="D52" s="1">
        <v>4.0999999999999995E-2</v>
      </c>
      <c r="E52" s="1">
        <v>0</v>
      </c>
      <c r="P52" s="1">
        <f t="shared" si="0"/>
        <v>6.9363533448824066E-2</v>
      </c>
      <c r="Q52" s="107">
        <f t="shared" si="1"/>
        <v>-0.25032654170703056</v>
      </c>
      <c r="R52" s="28"/>
    </row>
    <row r="53" spans="1:18" x14ac:dyDescent="0.3">
      <c r="A53" s="88">
        <v>36526</v>
      </c>
      <c r="B53" s="1">
        <v>5.45E-2</v>
      </c>
      <c r="C53" s="1">
        <v>2.792956891317561E-2</v>
      </c>
      <c r="D53" s="1">
        <v>0.04</v>
      </c>
      <c r="E53" s="1">
        <v>1</v>
      </c>
      <c r="P53" s="1">
        <f t="shared" si="0"/>
        <v>4.7102957297506479E-2</v>
      </c>
      <c r="Q53" s="107">
        <f t="shared" si="1"/>
        <v>0.15703987874419731</v>
      </c>
      <c r="R53" s="28"/>
    </row>
    <row r="54" spans="1:18" x14ac:dyDescent="0.3">
      <c r="A54" s="88">
        <v>36617</v>
      </c>
      <c r="B54" s="1">
        <v>6.0199999999999997E-2</v>
      </c>
      <c r="C54" s="1">
        <v>3.013863773357444E-2</v>
      </c>
      <c r="D54" s="1">
        <v>3.9E-2</v>
      </c>
      <c r="E54" s="1">
        <v>1</v>
      </c>
      <c r="P54" s="1">
        <f t="shared" si="0"/>
        <v>5.109817411381655E-2</v>
      </c>
      <c r="Q54" s="107">
        <f t="shared" si="1"/>
        <v>0.17812428807945183</v>
      </c>
      <c r="R54" s="28"/>
    </row>
    <row r="55" spans="1:18" x14ac:dyDescent="0.3">
      <c r="A55" s="88">
        <v>36708</v>
      </c>
      <c r="B55" s="1">
        <v>6.54E-2</v>
      </c>
      <c r="C55" s="1">
        <v>3.5992801439712063E-2</v>
      </c>
      <c r="D55" s="1">
        <v>0.04</v>
      </c>
      <c r="E55" s="1">
        <v>1</v>
      </c>
      <c r="P55" s="1">
        <f t="shared" si="0"/>
        <v>5.6892267886777717E-2</v>
      </c>
      <c r="Q55" s="107">
        <f t="shared" si="1"/>
        <v>0.14954109634289262</v>
      </c>
      <c r="R55" s="28"/>
    </row>
    <row r="56" spans="1:18" x14ac:dyDescent="0.3">
      <c r="A56" s="88">
        <v>36800</v>
      </c>
      <c r="B56" s="1">
        <v>6.5100000000000005E-2</v>
      </c>
      <c r="C56" s="1">
        <v>3.4503271861986984E-2</v>
      </c>
      <c r="D56" s="1">
        <v>3.9E-2</v>
      </c>
      <c r="E56" s="1">
        <v>1</v>
      </c>
      <c r="P56" s="1">
        <f t="shared" si="0"/>
        <v>5.6397135659443334E-2</v>
      </c>
      <c r="Q56" s="107">
        <f t="shared" si="1"/>
        <v>0.15431394234468418</v>
      </c>
      <c r="R56" s="28"/>
    </row>
    <row r="57" spans="1:18" x14ac:dyDescent="0.3">
      <c r="A57" s="88">
        <v>36892</v>
      </c>
      <c r="B57" s="1">
        <v>5.9799999999999999E-2</v>
      </c>
      <c r="C57" s="1">
        <v>3.7212049616066049E-2</v>
      </c>
      <c r="D57" s="1">
        <v>4.2000000000000003E-2</v>
      </c>
      <c r="E57" s="1">
        <v>1</v>
      </c>
      <c r="P57" s="1">
        <f t="shared" si="0"/>
        <v>5.5746002581689991E-2</v>
      </c>
      <c r="Q57" s="107">
        <f t="shared" si="1"/>
        <v>7.2722656882335104E-2</v>
      </c>
      <c r="R57" s="28"/>
    </row>
    <row r="58" spans="1:18" x14ac:dyDescent="0.3">
      <c r="A58" s="88">
        <v>36982</v>
      </c>
      <c r="B58" s="1">
        <v>4.8000000000000001E-2</v>
      </c>
      <c r="C58" s="1">
        <v>3.2182562902282039E-2</v>
      </c>
      <c r="D58" s="1">
        <v>4.4000000000000004E-2</v>
      </c>
      <c r="E58" s="1">
        <v>1</v>
      </c>
      <c r="P58" s="1">
        <f t="shared" si="0"/>
        <v>4.7013349754195952E-2</v>
      </c>
      <c r="Q58" s="107">
        <f t="shared" si="1"/>
        <v>2.098659744439909E-2</v>
      </c>
      <c r="R58" s="28"/>
    </row>
    <row r="59" spans="1:18" x14ac:dyDescent="0.3">
      <c r="A59" s="88">
        <v>37073</v>
      </c>
      <c r="B59" s="1">
        <v>3.7699999999999997E-2</v>
      </c>
      <c r="C59" s="1">
        <v>2.7214823393167442E-2</v>
      </c>
      <c r="D59" s="1">
        <v>4.8000000000000001E-2</v>
      </c>
      <c r="E59" s="1">
        <v>1</v>
      </c>
      <c r="P59" s="1">
        <f t="shared" si="0"/>
        <v>3.5729147018706803E-2</v>
      </c>
      <c r="Q59" s="107">
        <f t="shared" si="1"/>
        <v>5.5160930101726471E-2</v>
      </c>
      <c r="R59" s="28"/>
    </row>
    <row r="60" spans="1:18" x14ac:dyDescent="0.3">
      <c r="A60" s="88">
        <v>37165</v>
      </c>
      <c r="B60" s="1">
        <v>2.4899999999999999E-2</v>
      </c>
      <c r="C60" s="1">
        <v>2.1276595744680785E-2</v>
      </c>
      <c r="D60" s="1">
        <v>5.5E-2</v>
      </c>
      <c r="E60" s="1">
        <v>1</v>
      </c>
      <c r="P60" s="1">
        <f t="shared" si="0"/>
        <v>1.9326933132313057E-2</v>
      </c>
      <c r="Q60" s="107">
        <f t="shared" si="1"/>
        <v>0.28835753865000069</v>
      </c>
      <c r="R60" s="28"/>
    </row>
    <row r="61" spans="1:18" x14ac:dyDescent="0.3">
      <c r="A61" s="88">
        <v>37257</v>
      </c>
      <c r="B61" s="1">
        <v>1.7299999999999999E-2</v>
      </c>
      <c r="C61" s="1">
        <v>1.1958997722095639E-2</v>
      </c>
      <c r="D61" s="1">
        <v>5.7000000000000002E-2</v>
      </c>
      <c r="E61" s="1">
        <v>1</v>
      </c>
      <c r="P61" s="1">
        <f t="shared" si="0"/>
        <v>5.3882226467928708E-3</v>
      </c>
      <c r="Q61" s="107">
        <f t="shared" si="1"/>
        <v>2.2107062261610793</v>
      </c>
      <c r="R61" s="28"/>
    </row>
    <row r="62" spans="1:18" x14ac:dyDescent="0.3">
      <c r="A62" s="88">
        <v>37347</v>
      </c>
      <c r="B62" s="1">
        <v>1.7500000000000002E-2</v>
      </c>
      <c r="C62" s="1">
        <v>1.6439909297052187E-2</v>
      </c>
      <c r="D62" s="1">
        <v>5.7999999999999996E-2</v>
      </c>
      <c r="E62" s="1">
        <v>1</v>
      </c>
      <c r="P62" s="1">
        <f t="shared" si="0"/>
        <v>9.5150952915938232E-3</v>
      </c>
      <c r="Q62" s="107">
        <f t="shared" si="1"/>
        <v>0.83918284196906545</v>
      </c>
      <c r="R62" s="28"/>
    </row>
    <row r="63" spans="1:18" x14ac:dyDescent="0.3">
      <c r="A63" s="88">
        <v>37438</v>
      </c>
      <c r="B63" s="1">
        <v>1.7299999999999999E-2</v>
      </c>
      <c r="C63" s="1">
        <v>1.4656144306651603E-2</v>
      </c>
      <c r="D63" s="1">
        <v>5.7000000000000002E-2</v>
      </c>
      <c r="E63" s="1">
        <v>1</v>
      </c>
      <c r="P63" s="1">
        <f t="shared" si="0"/>
        <v>8.6627413381634051E-3</v>
      </c>
      <c r="Q63" s="107">
        <f t="shared" si="1"/>
        <v>0.99705835885754224</v>
      </c>
      <c r="R63" s="28"/>
    </row>
    <row r="64" spans="1:18" x14ac:dyDescent="0.3">
      <c r="A64" s="88">
        <v>37530</v>
      </c>
      <c r="B64" s="1">
        <v>1.7500000000000002E-2</v>
      </c>
      <c r="C64" s="1">
        <v>2.027027027027024E-2</v>
      </c>
      <c r="D64" s="1">
        <v>5.9000000000000004E-2</v>
      </c>
      <c r="E64" s="1">
        <v>1</v>
      </c>
      <c r="P64" s="1">
        <f t="shared" si="0"/>
        <v>1.2852155429624468E-2</v>
      </c>
      <c r="Q64" s="107">
        <f t="shared" si="1"/>
        <v>0.36163930601571787</v>
      </c>
      <c r="R64" s="28"/>
    </row>
    <row r="65" spans="1:18" x14ac:dyDescent="0.3">
      <c r="A65" s="88">
        <v>37622</v>
      </c>
      <c r="B65" s="1">
        <v>1.24E-2</v>
      </c>
      <c r="C65" s="1">
        <v>2.5886325267304576E-2</v>
      </c>
      <c r="D65" s="1">
        <v>5.9000000000000004E-2</v>
      </c>
      <c r="E65" s="1">
        <v>1</v>
      </c>
      <c r="P65" s="1">
        <f t="shared" si="0"/>
        <v>1.9670426696323687E-2</v>
      </c>
      <c r="Q65" s="107">
        <f t="shared" si="1"/>
        <v>-0.36961204800313241</v>
      </c>
      <c r="R65" s="28"/>
    </row>
    <row r="66" spans="1:18" x14ac:dyDescent="0.3">
      <c r="A66" s="88">
        <v>37712</v>
      </c>
      <c r="B66" s="1">
        <v>1.26E-2</v>
      </c>
      <c r="C66" s="1">
        <v>2.2308979364194088E-2</v>
      </c>
      <c r="D66" s="1">
        <v>6.0999999999999999E-2</v>
      </c>
      <c r="E66" s="1">
        <v>1</v>
      </c>
      <c r="P66" s="1">
        <f t="shared" si="0"/>
        <v>1.2700771198778358E-2</v>
      </c>
      <c r="Q66" s="107">
        <f t="shared" si="1"/>
        <v>-7.9342582589040488E-3</v>
      </c>
      <c r="R66" s="28"/>
    </row>
    <row r="67" spans="1:18" x14ac:dyDescent="0.3">
      <c r="A67" s="88">
        <v>37803</v>
      </c>
      <c r="B67" s="1">
        <v>1.01E-2</v>
      </c>
      <c r="C67" s="1">
        <v>2.1111111111111174E-2</v>
      </c>
      <c r="D67" s="1">
        <v>6.0999999999999999E-2</v>
      </c>
      <c r="E67" s="1">
        <v>1</v>
      </c>
      <c r="P67" s="1">
        <f t="shared" si="0"/>
        <v>1.1246477981279705E-2</v>
      </c>
      <c r="Q67" s="107">
        <f t="shared" si="1"/>
        <v>-0.10194106841164602</v>
      </c>
      <c r="R67" s="28"/>
    </row>
    <row r="68" spans="1:18" x14ac:dyDescent="0.3">
      <c r="A68" s="88">
        <v>37895</v>
      </c>
      <c r="B68" s="1">
        <v>1.01E-2</v>
      </c>
      <c r="C68" s="1">
        <v>2.0419426048565215E-2</v>
      </c>
      <c r="D68" s="1">
        <v>5.7999999999999996E-2</v>
      </c>
      <c r="E68" s="1">
        <v>1</v>
      </c>
      <c r="P68" s="1">
        <f t="shared" ref="P68:P80" si="3">$H$19+$H$20*C68+$H$21*D68+$H$22*E68</f>
        <v>1.4346498249100063E-2</v>
      </c>
      <c r="Q68" s="107">
        <f t="shared" si="1"/>
        <v>-0.29599545306231367</v>
      </c>
      <c r="R68" s="28"/>
    </row>
    <row r="69" spans="1:18" x14ac:dyDescent="0.3">
      <c r="A69" s="88">
        <v>37987</v>
      </c>
      <c r="B69" s="1">
        <v>0.01</v>
      </c>
      <c r="C69" s="1">
        <v>1.9747668678003257E-2</v>
      </c>
      <c r="D69" s="1">
        <v>5.7000000000000002E-2</v>
      </c>
      <c r="E69" s="1">
        <v>1</v>
      </c>
      <c r="P69" s="1">
        <f t="shared" si="3"/>
        <v>1.4844196887159603E-2</v>
      </c>
      <c r="Q69" s="107">
        <f t="shared" ref="Q69:Q80" si="4">(B69-P69)/P69</f>
        <v>-0.32633607085539856</v>
      </c>
      <c r="R69" s="28"/>
    </row>
    <row r="70" spans="1:18" x14ac:dyDescent="0.3">
      <c r="A70" s="88">
        <v>38078</v>
      </c>
      <c r="B70" s="1">
        <v>0.01</v>
      </c>
      <c r="C70" s="1">
        <v>2.2913256955810084E-2</v>
      </c>
      <c r="D70" s="1">
        <v>5.5999999999999994E-2</v>
      </c>
      <c r="E70" s="1">
        <v>1</v>
      </c>
      <c r="P70" s="1">
        <f t="shared" si="3"/>
        <v>2.0000693131097747E-2</v>
      </c>
      <c r="Q70" s="107">
        <f t="shared" si="4"/>
        <v>-0.50001732767692608</v>
      </c>
      <c r="R70" s="28"/>
    </row>
    <row r="71" spans="1:18" x14ac:dyDescent="0.3">
      <c r="A71" s="88">
        <v>38169</v>
      </c>
      <c r="B71" s="1">
        <v>1.26E-2</v>
      </c>
      <c r="C71" s="1">
        <v>2.9923830250272034E-2</v>
      </c>
      <c r="D71" s="1">
        <v>5.4000000000000006E-2</v>
      </c>
      <c r="E71" s="1">
        <v>1</v>
      </c>
      <c r="P71" s="1">
        <f t="shared" si="3"/>
        <v>3.1138519290585965E-2</v>
      </c>
      <c r="Q71" s="107">
        <f t="shared" si="4"/>
        <v>-0.59535648171268929</v>
      </c>
      <c r="R71" s="28"/>
    </row>
    <row r="72" spans="1:18" x14ac:dyDescent="0.3">
      <c r="A72" s="88">
        <v>38261</v>
      </c>
      <c r="B72" s="1">
        <v>1.7600000000000001E-2</v>
      </c>
      <c r="C72" s="1">
        <v>3.190914007571663E-2</v>
      </c>
      <c r="D72" s="1">
        <v>5.4000000000000006E-2</v>
      </c>
      <c r="E72" s="1">
        <v>1</v>
      </c>
      <c r="P72" s="1">
        <f t="shared" si="3"/>
        <v>3.354881992786117E-2</v>
      </c>
      <c r="Q72" s="107">
        <f t="shared" si="4"/>
        <v>-0.475391383725429</v>
      </c>
      <c r="R72" s="28"/>
    </row>
    <row r="73" spans="1:18" x14ac:dyDescent="0.3">
      <c r="A73" s="88">
        <v>38353</v>
      </c>
      <c r="B73" s="1">
        <v>2.2800000000000001E-2</v>
      </c>
      <c r="C73" s="1">
        <v>2.9047875201721387E-2</v>
      </c>
      <c r="D73" s="1">
        <v>5.2999999999999999E-2</v>
      </c>
      <c r="E73" s="1">
        <v>1</v>
      </c>
      <c r="P73" s="1">
        <f t="shared" si="3"/>
        <v>3.1388308112717395E-2</v>
      </c>
      <c r="Q73" s="107">
        <f t="shared" si="4"/>
        <v>-0.27361487856803995</v>
      </c>
      <c r="R73" s="28"/>
    </row>
    <row r="74" spans="1:18" x14ac:dyDescent="0.3">
      <c r="A74" s="88">
        <v>38443</v>
      </c>
      <c r="B74" s="1">
        <v>2.7900000000000001E-2</v>
      </c>
      <c r="C74" s="1">
        <v>3.4133333333333363E-2</v>
      </c>
      <c r="D74" s="1">
        <v>5.0999999999999997E-2</v>
      </c>
      <c r="E74" s="1">
        <v>1</v>
      </c>
      <c r="P74" s="1">
        <f t="shared" si="3"/>
        <v>4.0188914033643428E-2</v>
      </c>
      <c r="Q74" s="107">
        <f t="shared" si="4"/>
        <v>-0.30577870363344434</v>
      </c>
      <c r="R74" s="28"/>
    </row>
    <row r="75" spans="1:18" x14ac:dyDescent="0.3">
      <c r="A75" s="88">
        <v>38534</v>
      </c>
      <c r="B75" s="1">
        <v>3.2599999999999997E-2</v>
      </c>
      <c r="C75" s="1">
        <v>3.0639197041732607E-2</v>
      </c>
      <c r="D75" s="1">
        <v>0.05</v>
      </c>
      <c r="E75" s="1">
        <v>1</v>
      </c>
      <c r="P75" s="1">
        <f t="shared" si="3"/>
        <v>3.7260053439071086E-2</v>
      </c>
      <c r="Q75" s="107">
        <f t="shared" si="4"/>
        <v>-0.12506835092685437</v>
      </c>
      <c r="R75" s="28"/>
    </row>
    <row r="76" spans="1:18" x14ac:dyDescent="0.3">
      <c r="A76" s="88">
        <v>38626</v>
      </c>
      <c r="B76" s="1">
        <v>3.78E-2</v>
      </c>
      <c r="C76" s="1">
        <v>4.4025157232704282E-2</v>
      </c>
      <c r="D76" s="1">
        <v>0.05</v>
      </c>
      <c r="E76" s="1">
        <v>1</v>
      </c>
      <c r="P76" s="1">
        <f t="shared" si="3"/>
        <v>5.3511516039682724E-2</v>
      </c>
      <c r="Q76" s="107">
        <f t="shared" si="4"/>
        <v>-0.29360999654787356</v>
      </c>
      <c r="R76" s="28"/>
    </row>
    <row r="77" spans="1:18" x14ac:dyDescent="0.3">
      <c r="A77" s="88">
        <v>38718</v>
      </c>
      <c r="B77" s="1">
        <v>4.2900000000000001E-2</v>
      </c>
      <c r="C77" s="1">
        <v>4.0250914793517972E-2</v>
      </c>
      <c r="D77" s="1">
        <v>4.7E-2</v>
      </c>
      <c r="E77" s="1">
        <v>1</v>
      </c>
      <c r="P77" s="1">
        <f t="shared" si="3"/>
        <v>5.286910280209807E-2</v>
      </c>
      <c r="Q77" s="107">
        <f t="shared" si="4"/>
        <v>-0.18856198183303488</v>
      </c>
      <c r="R77" s="28"/>
    </row>
    <row r="78" spans="1:18" x14ac:dyDescent="0.3">
      <c r="A78" s="88">
        <v>38808</v>
      </c>
      <c r="B78" s="1">
        <v>4.7899999999999998E-2</v>
      </c>
      <c r="C78" s="1">
        <v>3.5585353274883991E-2</v>
      </c>
      <c r="D78" s="1">
        <v>4.5999999999999999E-2</v>
      </c>
      <c r="E78" s="1">
        <v>1</v>
      </c>
      <c r="P78" s="1">
        <f t="shared" si="3"/>
        <v>4.851805261522564E-2</v>
      </c>
      <c r="Q78" s="107">
        <f t="shared" si="4"/>
        <v>-1.2738611339724065E-2</v>
      </c>
      <c r="R78" s="28"/>
    </row>
    <row r="79" spans="1:18" x14ac:dyDescent="0.3">
      <c r="A79" s="88">
        <v>38899</v>
      </c>
      <c r="B79" s="1">
        <v>6.1464017188872559E-2</v>
      </c>
      <c r="C79" s="1">
        <v>4.1517170681701666E-2</v>
      </c>
      <c r="D79" s="1">
        <v>4.5999999999999999E-2</v>
      </c>
      <c r="E79" s="1">
        <v>1</v>
      </c>
      <c r="P79" s="1">
        <f t="shared" si="3"/>
        <v>5.5719680841012018E-2</v>
      </c>
      <c r="Q79" s="107">
        <f t="shared" si="4"/>
        <v>0.10309348978956229</v>
      </c>
      <c r="R79" s="28"/>
    </row>
    <row r="80" spans="1:18" x14ac:dyDescent="0.3">
      <c r="A80" s="88">
        <v>38991</v>
      </c>
      <c r="B80" s="1">
        <v>5.2499999999999998E-2</v>
      </c>
      <c r="C80" s="1">
        <v>1.3052208835341481E-2</v>
      </c>
      <c r="D80" s="1">
        <v>4.4000000000000004E-2</v>
      </c>
      <c r="E80" s="1">
        <v>1</v>
      </c>
      <c r="P80" s="1">
        <f t="shared" si="3"/>
        <v>2.3787803792612184E-2</v>
      </c>
      <c r="Q80" s="107">
        <f t="shared" si="4"/>
        <v>1.207013327405408</v>
      </c>
      <c r="R80" s="28"/>
    </row>
    <row r="81" spans="1:18" ht="14.5" thickBot="1" x14ac:dyDescent="0.35">
      <c r="A81" s="48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1"/>
    </row>
  </sheetData>
  <mergeCells count="2">
    <mergeCell ref="K5:N5"/>
    <mergeCell ref="A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38100</xdr:colOff>
                    <xdr:row>0</xdr:row>
                    <xdr:rowOff>82550</xdr:rowOff>
                  </from>
                  <to>
                    <xdr:col>0</xdr:col>
                    <xdr:colOff>901700</xdr:colOff>
                    <xdr:row>0</xdr:row>
                    <xdr:rowOff>654050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Home Menu Page</vt:lpstr>
      <vt:lpstr>Bond Price</vt:lpstr>
      <vt:lpstr>Bond Duration</vt:lpstr>
      <vt:lpstr>BP vs r etc</vt:lpstr>
      <vt:lpstr>BP vs r vs T</vt:lpstr>
      <vt:lpstr>Dur vs etc</vt:lpstr>
      <vt:lpstr>YTM</vt:lpstr>
      <vt:lpstr>mortgage</vt:lpstr>
      <vt:lpstr>Black(1976)</vt:lpstr>
      <vt:lpstr>Portfolio for 10 stocks</vt:lpstr>
      <vt:lpstr>Estimate Taylor Rule</vt:lpstr>
      <vt:lpstr>Taylor Rule with Dummy</vt:lpstr>
      <vt:lpstr>'Bond Duration'!Print_Area</vt:lpstr>
    </vt:vector>
  </TitlesOfParts>
  <Company>Technological University Dublin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CA(1)</dc:title>
  <dc:creator>Aye Aye Myat</dc:creator>
  <cp:lastModifiedBy>Aye Myat</cp:lastModifiedBy>
  <cp:lastPrinted>2025-03-15T13:30:52Z</cp:lastPrinted>
  <dcterms:created xsi:type="dcterms:W3CDTF">2025-01-30T12:25:56Z</dcterms:created>
  <dcterms:modified xsi:type="dcterms:W3CDTF">2025-04-18T22:21:40Z</dcterms:modified>
</cp:coreProperties>
</file>